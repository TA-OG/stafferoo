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3.xml" ContentType="application/vnd.openxmlformats-officedocument.drawing+xml"/>
  <Override PartName="/xl/worksheets/sheet14.xml" ContentType="application/vnd.openxmlformats-officedocument.spreadsheetml.worksheet+xml"/>
  <Override PartName="/xl/drawings/drawing4.xml" ContentType="application/vnd.openxmlformats-officedocument.drawing+xml"/>
  <Override PartName="/xl/worksheets/sheet15.xml" ContentType="application/vnd.openxmlformats-officedocument.spreadsheetml.worksheet+xml"/>
  <Override PartName="/xl/drawings/drawing5.xml" ContentType="application/vnd.openxmlformats-officedocument.drawing+xml"/>
  <Override PartName="/xl/worksheets/sheet16.xml" ContentType="application/vnd.openxmlformats-officedocument.spreadsheetml.worksheet+xml"/>
  <Override PartName="/xl/drawings/drawing6.xml" ContentType="application/vnd.openxmlformats-officedocument.drawing+xml"/>
  <Override PartName="/xl/worksheets/sheet17.xml" ContentType="application/vnd.openxmlformats-officedocument.spreadsheetml.worksheet+xml"/>
  <Override PartName="/xl/drawings/drawing7.xml" ContentType="application/vnd.openxmlformats-officedocument.drawing+xml"/>
  <Override PartName="/xl/worksheets/sheet18.xml" ContentType="application/vnd.openxmlformats-officedocument.spreadsheetml.worksheet+xml"/>
  <Override PartName="/xl/drawings/drawing8.xml" ContentType="application/vnd.openxmlformats-officedocument.drawing+xml"/>
  <Override PartName="/xl/worksheets/sheet19.xml" ContentType="application/vnd.openxmlformats-officedocument.spreadsheetml.worksheet+xml"/>
  <Override PartName="/xl/drawings/drawing9.xml" ContentType="application/vnd.openxmlformats-officedocument.drawing+xml"/>
  <Override PartName="/xl/worksheets/sheet20.xml" ContentType="application/vnd.openxmlformats-officedocument.spreadsheetml.worksheet+xml"/>
  <Override PartName="/xl/drawings/drawing10.xml" ContentType="application/vnd.openxmlformats-officedocument.drawing+xml"/>
  <Override PartName="/xl/worksheets/sheet2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8510" yWindow="-110" windowWidth="38620" windowHeight="21820" tabRatio="655" firstSheet="0" activeTab="0" autoFilterDateGrouping="1"/>
  </bookViews>
  <sheets>
    <sheet xmlns:r="http://schemas.openxmlformats.org/officeDocument/2006/relationships" name="CC Assumptions" sheetId="1" state="visible" r:id="rId1"/>
    <sheet xmlns:r="http://schemas.openxmlformats.org/officeDocument/2006/relationships" name="CC Forecast" sheetId="2" state="visible" r:id="rId2"/>
    <sheet xmlns:r="http://schemas.openxmlformats.org/officeDocument/2006/relationships" name="CC Valuation" sheetId="3" state="visible" r:id="rId3"/>
    <sheet xmlns:r="http://schemas.openxmlformats.org/officeDocument/2006/relationships" name="CC Notes" sheetId="4" state="visible" r:id="rId4"/>
    <sheet xmlns:r="http://schemas.openxmlformats.org/officeDocument/2006/relationships" name="Assums" sheetId="5" state="visible" r:id="rId5"/>
    <sheet xmlns:r="http://schemas.openxmlformats.org/officeDocument/2006/relationships" name="Drawdown Schedule" sheetId="6" state="visible" r:id="rId6"/>
    <sheet xmlns:r="http://schemas.openxmlformats.org/officeDocument/2006/relationships" name="Use of Funds" sheetId="7" state="visible" r:id="rId7"/>
    <sheet xmlns:r="http://schemas.openxmlformats.org/officeDocument/2006/relationships" name="PROJECT TIMELINE" sheetId="8" state="visible" r:id="rId8"/>
    <sheet xmlns:r="http://schemas.openxmlformats.org/officeDocument/2006/relationships" name="Pitch Deck Overview" sheetId="9" state="visible" r:id="rId9"/>
    <sheet xmlns:r="http://schemas.openxmlformats.org/officeDocument/2006/relationships" name="Calc" sheetId="10" state="visible" r:id="rId10"/>
    <sheet xmlns:r="http://schemas.openxmlformats.org/officeDocument/2006/relationships" name="Jnls Mthly" sheetId="11" state="visible" r:id="rId11"/>
    <sheet xmlns:r="http://schemas.openxmlformats.org/officeDocument/2006/relationships" name="TB Mnthly" sheetId="12" state="visible" r:id="rId12"/>
    <sheet xmlns:r="http://schemas.openxmlformats.org/officeDocument/2006/relationships" name="Cover" sheetId="13" state="visible" r:id="rId13"/>
    <sheet xmlns:r="http://schemas.openxmlformats.org/officeDocument/2006/relationships" name="PnL Mnthly" sheetId="14" state="visible" r:id="rId14"/>
    <sheet xmlns:r="http://schemas.openxmlformats.org/officeDocument/2006/relationships" name="BS Mnthly" sheetId="15" state="visible" r:id="rId15"/>
    <sheet xmlns:r="http://schemas.openxmlformats.org/officeDocument/2006/relationships" name="CF Monthly" sheetId="16" state="visible" r:id="rId16"/>
    <sheet xmlns:r="http://schemas.openxmlformats.org/officeDocument/2006/relationships" name="PLYrly" sheetId="17" state="visible" r:id="rId17"/>
    <sheet xmlns:r="http://schemas.openxmlformats.org/officeDocument/2006/relationships" name="BSYrly" sheetId="18" state="visible" r:id="rId18"/>
    <sheet xmlns:r="http://schemas.openxmlformats.org/officeDocument/2006/relationships" name="CFYrly" sheetId="19" state="visible" r:id="rId19"/>
    <sheet xmlns:r="http://schemas.openxmlformats.org/officeDocument/2006/relationships" name="Graphs" sheetId="20" state="visible" r:id="rId20"/>
    <sheet xmlns:r="http://schemas.openxmlformats.org/officeDocument/2006/relationships" name="Settings Counts" sheetId="21" state="visible" r:id="rId21"/>
  </sheets>
  <definedNames>
    <definedName name="__IntlFixup" hidden="1">TRUE</definedName>
    <definedName name="__IntlFixupTable" hidden="1">#REF!</definedName>
    <definedName name="_1Excel_BuiltIn_Print_Titles_1">#REF!</definedName>
    <definedName name="_Order1" hidden="1">0</definedName>
    <definedName name="AA.Report.Files" hidden="1">#REF!</definedName>
    <definedName name="AA.Reports.Available" hidden="1">#REF!</definedName>
    <definedName name="Data.Dump" hidden="1">OFFSET([0]!Data.Top.Left,1,0)</definedName>
    <definedName name="Database.File" hidden="1">#REF!</definedName>
    <definedName name="File.Type" hidden="1">#REF!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Macro1">[0]!Macro1</definedName>
    <definedName name="Macro2">[0]!Macro2</definedName>
    <definedName name="Ownership" hidden="1">OFFSET([0]!Data.Top.Left,1,0)</definedName>
    <definedName name="Show.Acct.Update.Warning" hidden="1">#REF!</definedName>
    <definedName name="Show.MDB.Update.Warning" hidden="1">#REF!</definedName>
    <definedName name="_xlnm.Print_Area" localSheetId="4">'Assums'!$A$1:$J$80</definedName>
    <definedName name="Data.Dump" localSheetId="6" hidden="1">OFFSET([0]!Data.Top.Left,1,0)</definedName>
    <definedName name="Ownership" localSheetId="6" hidden="1">OFFSET([0]!Data.Top.Left,1,0)</definedName>
    <definedName name="_xlnm.Print_Area" localSheetId="7">'PROJECT TIMELINE'!$A$1:$H$46</definedName>
    <definedName name="_xlnm.Print_Area" localSheetId="8">'Pitch Deck Overview'!$A$1:$Q$22</definedName>
    <definedName name="_xlnm.Print_Area" localSheetId="9">'Calc'!$A$1:$FV$76</definedName>
    <definedName name="_xlnm._FilterDatabase" localSheetId="10" hidden="1">'Jnls Mthly'!$A$3:$AQ$74</definedName>
    <definedName name="_xlnm.Print_Area" localSheetId="12">'Cover'!$A$1:$H$52</definedName>
    <definedName name="_xlnm.Print_Titles" localSheetId="13">'PnL Mnthly'!$4:$5,'PnL Mnthly'!$A:$A</definedName>
    <definedName name="_xlnm.Print_Area" localSheetId="13">'PnL Mnthly'!$A$1:$BS$49</definedName>
    <definedName name="_xlnm.Print_Titles" localSheetId="14">'BS Mnthly'!$1:$6,'BS Mnthly'!$A:$B</definedName>
    <definedName name="_xlnm.Print_Area" localSheetId="14">'BS Mnthly'!$A$1:$BQ$27</definedName>
    <definedName name="_xlnm.Print_Titles" localSheetId="15">'CF Monthly'!$5:$6,'CF Monthly'!$A:$A</definedName>
    <definedName name="_xlnm.Print_Area" localSheetId="15">'CF Monthly'!$A$1:$BT$21</definedName>
    <definedName name="_xlnm.Print_Area" localSheetId="16">'PLYrly'!$A$1:$K$50</definedName>
    <definedName name="_xlnm.Print_Area" localSheetId="17">'BSYrly'!$A$1:$K$32</definedName>
    <definedName name="_xlnm.Print_Area" localSheetId="18">'CFYrly'!$A$1:$L$24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_-* #,##0.00_-;\-* #,##0.00_-;_-* &quot;-&quot;??_-;_-@_-"/>
    <numFmt numFmtId="165" formatCode="_(* #,##0_);_(* \(#,##0\);_(* &quot;-&quot;??_);_(@_)"/>
    <numFmt numFmtId="166" formatCode="_-[$$-409]* #,##0.00_ ;_-[$$-409]* \-#,##0.00\ ;_-[$$-409]* &quot;-&quot;??_ ;_-@_ "/>
    <numFmt numFmtId="167" formatCode="_-* #,##0_-;\-* #,##0_-;_-* &quot;-&quot;??_-;_-@_-"/>
    <numFmt numFmtId="168" formatCode="[$£-809]#,##0.00;[Red]\-[$£-809]#,##0.00"/>
    <numFmt numFmtId="169" formatCode="_-* &quot;£&quot;#,##0_-;\-* &quot;£&quot;#,##0_-;_-* &quot;-&quot;??_-;_-@_-"/>
    <numFmt numFmtId="170" formatCode="mmm\-yy;@"/>
    <numFmt numFmtId="171" formatCode="_-* #,##0_-;* \(#,##0\)_-;_-* &quot;-&quot;??_-;_-@_-"/>
    <numFmt numFmtId="172" formatCode="_-[$ZMK]\ * #,##0.00_-;\-[$ZMK]\ * #,##0.00_-;_-[$ZMK]\ * &quot;-&quot;??_-;_-@_-"/>
    <numFmt numFmtId="173" formatCode="_-[$$-409]* #,##0_ ;_-[$$-409]* \-#,##0\ ;_-[$$-409]* &quot;-&quot;??_ ;_-@_ "/>
    <numFmt numFmtId="174" formatCode="£#,##0"/>
    <numFmt numFmtId="175" formatCode="[$£-809]#,##0.00;[Red][$£-809]\-#,##0.00"/>
  </numFmts>
  <fonts count="62"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color indexed="8"/>
      <sz val="11"/>
    </font>
    <font>
      <name val="Arial"/>
      <family val="2"/>
      <sz val="8"/>
    </font>
    <font>
      <name val="Arial"/>
      <family val="2"/>
      <b val="1"/>
      <i val="1"/>
      <sz val="16"/>
    </font>
    <font>
      <name val="Arial"/>
      <family val="2"/>
      <b val="1"/>
      <i val="1"/>
      <sz val="10"/>
      <u val="single"/>
    </font>
    <font>
      <name val="Arial"/>
      <family val="2"/>
      <sz val="9"/>
    </font>
    <font>
      <name val="Arial"/>
      <family val="2"/>
      <b val="1"/>
      <sz val="10"/>
    </font>
    <font>
      <name val="Arial"/>
      <family val="2"/>
      <b val="1"/>
      <sz val="8"/>
    </font>
    <font>
      <name val="Arial"/>
      <family val="2"/>
      <b val="1"/>
      <sz val="10"/>
      <u val="single"/>
    </font>
    <font>
      <name val="Arial"/>
      <family val="2"/>
      <sz val="10"/>
    </font>
    <font>
      <name val="Arial"/>
      <family val="2"/>
      <sz val="10"/>
    </font>
    <font>
      <name val="Calibri"/>
      <family val="2"/>
      <sz val="10"/>
      <scheme val="minor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b val="1"/>
      <sz val="10"/>
      <scheme val="minor"/>
    </font>
    <font>
      <name val="Calibri"/>
      <family val="2"/>
      <b val="1"/>
      <sz val="8"/>
      <u val="singleAccounting"/>
      <scheme val="minor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Arial"/>
      <family val="2"/>
      <b val="1"/>
      <sz val="10"/>
      <u val="singleAccounting"/>
    </font>
    <font>
      <name val="Times New Roman"/>
      <family val="1"/>
      <sz val="12"/>
    </font>
    <font>
      <name val="Arial"/>
      <family val="2"/>
      <b val="1"/>
      <sz val="10.5"/>
    </font>
    <font>
      <name val="Times New Roman"/>
      <family val="1"/>
      <sz val="10.5"/>
    </font>
    <font>
      <name val="Arial"/>
      <family val="2"/>
      <sz val="10.5"/>
    </font>
    <font>
      <name val="Calibri"/>
      <family val="2"/>
      <color rgb="FFFF0000"/>
      <sz val="10"/>
      <scheme val="minor"/>
    </font>
    <font>
      <name val="Arial"/>
      <family val="2"/>
      <b val="1"/>
      <color rgb="FFFF0000"/>
      <sz val="18"/>
    </font>
    <font>
      <name val="Calibri"/>
      <family val="2"/>
      <b val="1"/>
      <sz val="7.5"/>
      <u val="singleAccounting"/>
      <scheme val="minor"/>
    </font>
    <font>
      <name val="Arial"/>
      <family val="2"/>
      <sz val="7.5"/>
    </font>
    <font>
      <name val="Calibri"/>
      <family val="2"/>
      <b val="1"/>
      <sz val="14"/>
      <scheme val="minor"/>
    </font>
    <font>
      <name val="Arial"/>
      <family val="2"/>
      <b val="1"/>
      <sz val="14"/>
      <u val="single"/>
    </font>
    <font>
      <name val="Arial"/>
      <family val="2"/>
      <b val="1"/>
      <color theme="4" tint="-0.499984740745262"/>
      <sz val="10"/>
    </font>
    <font>
      <name val="Arial"/>
      <family val="2"/>
      <b val="1"/>
      <color theme="4" tint="-0.499984740745262"/>
      <sz val="40"/>
    </font>
    <font>
      <name val="Arial"/>
      <family val="2"/>
      <b val="1"/>
      <color theme="4" tint="-0.499984740745262"/>
      <sz val="12"/>
    </font>
    <font>
      <name val="Arial"/>
      <family val="2"/>
      <b val="1"/>
      <color theme="4" tint="-0.499984740745262"/>
      <sz val="32"/>
      <u val="single"/>
    </font>
    <font>
      <name val="Calibri"/>
      <family val="2"/>
      <color theme="10"/>
      <sz val="7.7"/>
      <u val="single"/>
    </font>
    <font>
      <name val="Calibri"/>
      <family val="2"/>
      <color theme="1"/>
      <sz val="8"/>
      <scheme val="minor"/>
    </font>
    <font>
      <name val="Calibri"/>
      <family val="2"/>
      <sz val="9"/>
      <scheme val="minor"/>
    </font>
    <font>
      <name val="Calibri"/>
      <family val="2"/>
      <b val="1"/>
      <sz val="10"/>
      <u val="single"/>
      <scheme val="minor"/>
    </font>
    <font>
      <name val="Calibri"/>
      <family val="2"/>
      <b val="1"/>
      <sz val="9"/>
      <scheme val="minor"/>
    </font>
    <font>
      <name val="Times New Roman"/>
      <family val="1"/>
      <sz val="10"/>
    </font>
    <font>
      <name val="Arial"/>
      <family val="2"/>
      <b val="1"/>
      <sz val="11"/>
    </font>
    <font>
      <name val="Arial"/>
      <family val="2"/>
      <sz val="11"/>
    </font>
    <font>
      <name val="Calibri"/>
      <family val="2"/>
      <color theme="1"/>
      <sz val="10"/>
      <scheme val="minor"/>
    </font>
    <font>
      <name val="Calibri"/>
      <family val="2"/>
      <b val="1"/>
      <color indexed="39"/>
      <sz val="10"/>
      <scheme val="minor"/>
    </font>
    <font>
      <name val="Calibri"/>
      <family val="2"/>
      <sz val="10"/>
      <u val="single"/>
      <scheme val="minor"/>
    </font>
    <font>
      <name val="Calibri"/>
      <family val="2"/>
      <b val="1"/>
      <color theme="1"/>
      <sz val="10"/>
      <scheme val="minor"/>
    </font>
    <font>
      <name val="Arial Nova Cond"/>
      <family val="2"/>
      <b val="1"/>
      <color theme="0"/>
      <sz val="12"/>
    </font>
    <font>
      <name val="Arial Nova Cond"/>
      <family val="2"/>
      <b val="1"/>
      <sz val="10"/>
    </font>
    <font>
      <name val="Arial Nova Cond"/>
      <family val="2"/>
      <b val="1"/>
      <color theme="0"/>
      <sz val="10"/>
    </font>
    <font>
      <name val="Arial Nova Cond"/>
      <family val="2"/>
      <b val="1"/>
      <sz val="11"/>
    </font>
    <font>
      <name val="Arial Nova Cond"/>
      <family val="2"/>
      <b val="1"/>
      <color theme="1" tint="0.249977111117893"/>
      <sz val="11"/>
    </font>
    <font>
      <name val="Arial Nova Cond"/>
      <family val="2"/>
      <b val="1"/>
      <color theme="4" tint="-0.249977111117893"/>
      <sz val="11"/>
    </font>
    <font>
      <name val="Arial"/>
      <family val="2"/>
      <b val="1"/>
      <sz val="14"/>
    </font>
    <font>
      <name val="Arial"/>
      <family val="2"/>
      <color theme="10"/>
      <sz val="10"/>
      <u val="single"/>
    </font>
    <font>
      <name val="Arial"/>
      <family val="2"/>
      <b val="1"/>
      <sz val="12"/>
    </font>
    <font>
      <name val="Arial"/>
      <family val="2"/>
      <b val="1"/>
      <color theme="4" tint="-0.499984740745262"/>
      <sz val="28"/>
    </font>
    <font>
      <b val="1"/>
      <sz val="16"/>
    </font>
    <font>
      <b val="1"/>
      <sz val="14"/>
    </font>
    <font>
      <b val="1"/>
      <color rgb="00FFFFFF"/>
    </font>
    <font>
      <b val="1"/>
      <sz val="12"/>
    </font>
  </fonts>
  <fills count="27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9"/>
        <bgColor indexed="3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26"/>
      </patternFill>
    </fill>
    <fill>
      <patternFill patternType="solid">
        <fgColor indexed="15"/>
        <bgColor indexed="26"/>
      </patternFill>
    </fill>
    <fill>
      <patternFill patternType="solid">
        <fgColor indexed="41"/>
        <bgColor indexed="26"/>
      </patternFill>
    </fill>
    <fill>
      <patternFill patternType="solid">
        <fgColor indexed="41"/>
        <bgColor indexed="41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001F4E79"/>
      </patternFill>
    </fill>
  </fills>
  <borders count="8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/>
      <top/>
      <bottom style="medium">
        <color indexed="64"/>
      </bottom>
      <diagonal/>
    </border>
    <border>
      <left style="thin">
        <color indexed="22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/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medium">
        <color rgb="FF1F497D"/>
      </left>
      <right style="medium">
        <color rgb="FF1F497D"/>
      </right>
      <top/>
      <bottom style="medium">
        <color rgb="FF1F497D"/>
      </bottom>
      <diagonal/>
    </border>
    <border>
      <left/>
      <right style="medium">
        <color rgb="FF1F497D"/>
      </right>
      <top/>
      <bottom style="medium">
        <color rgb="FF1F497D"/>
      </bottom>
      <diagonal/>
    </border>
    <border>
      <left style="medium">
        <color indexed="64"/>
      </left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/>
      <right style="thin">
        <color indexed="22"/>
      </right>
      <top style="medium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/>
      <right style="thin">
        <color indexed="22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/>
      <diagonal/>
    </border>
    <border>
      <left/>
      <right style="thin">
        <color indexed="22"/>
      </right>
      <top style="medium">
        <color indexed="64"/>
      </top>
      <bottom/>
      <diagonal/>
    </border>
    <border>
      <left style="medium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</borders>
  <cellStyleXfs count="20">
    <xf numFmtId="0" fontId="13" fillId="0" borderId="0"/>
    <xf numFmtId="43" fontId="13" fillId="0" borderId="0"/>
    <xf numFmtId="0" fontId="13" fillId="0" borderId="0"/>
    <xf numFmtId="1" fontId="5" fillId="0" borderId="0"/>
    <xf numFmtId="0" fontId="6" fillId="0" borderId="0" applyAlignment="1">
      <alignment horizontal="center"/>
    </xf>
    <xf numFmtId="0" fontId="6" fillId="0" borderId="0" applyAlignment="1">
      <alignment horizontal="center" textRotation="90"/>
    </xf>
    <xf numFmtId="0" fontId="4" fillId="0" borderId="0"/>
    <xf numFmtId="0" fontId="13" fillId="0" borderId="0"/>
    <xf numFmtId="0" fontId="7" fillId="0" borderId="0"/>
    <xf numFmtId="175" fontId="7" fillId="0" borderId="0"/>
    <xf numFmtId="166" fontId="13" fillId="0" borderId="0"/>
    <xf numFmtId="9" fontId="13" fillId="0" borderId="0"/>
    <xf numFmtId="0" fontId="2" fillId="0" borderId="0"/>
    <xf numFmtId="44" fontId="2" fillId="0" borderId="0"/>
    <xf numFmtId="0" fontId="36" fillId="0" borderId="0" applyAlignment="1" applyProtection="1">
      <alignment vertical="top"/>
      <protection locked="0" hidden="0"/>
    </xf>
    <xf numFmtId="0" fontId="2" fillId="0" borderId="0"/>
    <xf numFmtId="43" fontId="2" fillId="0" borderId="0"/>
    <xf numFmtId="0" fontId="13" fillId="0" borderId="0"/>
    <xf numFmtId="44" fontId="13" fillId="0" borderId="0"/>
    <xf numFmtId="0" fontId="55" fillId="0" borderId="0"/>
  </cellStyleXfs>
  <cellXfs count="746">
    <xf numFmtId="0" fontId="0" fillId="0" borderId="0" pivotButton="0" quotePrefix="0" xfId="0"/>
    <xf numFmtId="0" fontId="11" fillId="0" borderId="0" pivotButton="0" quotePrefix="0" xfId="0"/>
    <xf numFmtId="43" fontId="3" fillId="0" borderId="0" pivotButton="0" quotePrefix="0" xfId="1"/>
    <xf numFmtId="0" fontId="9" fillId="0" borderId="0" pivotButton="0" quotePrefix="0" xfId="0"/>
    <xf numFmtId="43" fontId="14" fillId="0" borderId="0" pivotButton="0" quotePrefix="0" xfId="1"/>
    <xf numFmtId="43" fontId="16" fillId="0" borderId="0" pivotButton="0" quotePrefix="0" xfId="1"/>
    <xf numFmtId="164" fontId="0" fillId="0" borderId="0" pivotButton="0" quotePrefix="0" xfId="0"/>
    <xf numFmtId="0" fontId="15" fillId="0" borderId="0" pivotButton="0" quotePrefix="0" xfId="0"/>
    <xf numFmtId="43" fontId="17" fillId="0" borderId="0" pivotButton="0" quotePrefix="0" xfId="1"/>
    <xf numFmtId="0" fontId="3" fillId="0" borderId="0" pivotButton="0" quotePrefix="0" xfId="0"/>
    <xf numFmtId="43" fontId="17" fillId="0" borderId="0" applyAlignment="1" pivotButton="0" quotePrefix="0" xfId="1">
      <alignment horizontal="center"/>
    </xf>
    <xf numFmtId="43" fontId="17" fillId="0" borderId="43" pivotButton="0" quotePrefix="0" xfId="1"/>
    <xf numFmtId="0" fontId="5" fillId="0" borderId="0" pivotButton="0" quotePrefix="0" xfId="0"/>
    <xf numFmtId="43" fontId="19" fillId="0" borderId="0" pivotButton="0" quotePrefix="0" xfId="1"/>
    <xf numFmtId="0" fontId="20" fillId="0" borderId="0" pivotButton="0" quotePrefix="0" xfId="0"/>
    <xf numFmtId="43" fontId="18" fillId="0" borderId="0" applyAlignment="1" pivotButton="0" quotePrefix="0" xfId="1">
      <alignment horizontal="center"/>
    </xf>
    <xf numFmtId="43" fontId="20" fillId="0" borderId="0" pivotButton="0" quotePrefix="0" xfId="1"/>
    <xf numFmtId="0" fontId="19" fillId="0" borderId="0" pivotButton="0" quotePrefix="0" xfId="0"/>
    <xf numFmtId="43" fontId="14" fillId="0" borderId="0" applyAlignment="1" pivotButton="0" quotePrefix="0" xfId="1">
      <alignment horizontal="center"/>
    </xf>
    <xf numFmtId="0" fontId="3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165" fontId="3" fillId="0" borderId="0" pivotButton="0" quotePrefix="0" xfId="1"/>
    <xf numFmtId="43" fontId="3" fillId="0" borderId="0" pivotButton="0" quotePrefix="0" xfId="1"/>
    <xf numFmtId="165" fontId="3" fillId="0" borderId="0" pivotButton="0" quotePrefix="0" xfId="1"/>
    <xf numFmtId="165" fontId="0" fillId="0" borderId="0" pivotButton="0" quotePrefix="0" xfId="0"/>
    <xf numFmtId="166" fontId="3" fillId="0" borderId="0" pivotButton="0" quotePrefix="0" xfId="10"/>
    <xf numFmtId="43" fontId="0" fillId="0" borderId="0" pivotButton="0" quotePrefix="0" xfId="1"/>
    <xf numFmtId="165" fontId="0" fillId="0" borderId="0" pivotButton="0" quotePrefix="0" xfId="1"/>
    <xf numFmtId="43" fontId="21" fillId="0" borderId="0" pivotButton="0" quotePrefix="0" xfId="1"/>
    <xf numFmtId="43" fontId="9" fillId="0" borderId="0" pivotButton="0" quotePrefix="0" xfId="1"/>
    <xf numFmtId="165" fontId="9" fillId="0" borderId="43" pivotButton="0" quotePrefix="0" xfId="1"/>
    <xf numFmtId="165" fontId="9" fillId="0" borderId="0" pivotButton="0" quotePrefix="0" xfId="1"/>
    <xf numFmtId="165" fontId="9" fillId="0" borderId="0" pivotButton="0" quotePrefix="0" xfId="1"/>
    <xf numFmtId="43" fontId="9" fillId="0" borderId="0" pivotButton="0" quotePrefix="0" xfId="1"/>
    <xf numFmtId="165" fontId="3" fillId="0" borderId="0" pivotButton="0" quotePrefix="0" xfId="0"/>
    <xf numFmtId="165" fontId="3" fillId="0" borderId="15" pivotButton="0" quotePrefix="0" xfId="1"/>
    <xf numFmtId="165" fontId="9" fillId="0" borderId="0" pivotButton="0" quotePrefix="0" xfId="0"/>
    <xf numFmtId="0" fontId="9" fillId="0" borderId="0" applyAlignment="1" pivotButton="0" quotePrefix="0" xfId="0">
      <alignment horizontal="center" vertical="center"/>
    </xf>
    <xf numFmtId="0" fontId="22" fillId="0" borderId="0" pivotButton="0" quotePrefix="0" xfId="0"/>
    <xf numFmtId="0" fontId="21" fillId="0" borderId="0" applyAlignment="1" pivotButton="0" quotePrefix="0" xfId="1">
      <alignment horizontal="center"/>
    </xf>
    <xf numFmtId="0" fontId="21" fillId="0" borderId="0" applyAlignment="1" pivotButton="0" quotePrefix="0" xfId="1">
      <alignment horizontal="center"/>
    </xf>
    <xf numFmtId="0" fontId="24" fillId="0" borderId="44" pivotButton="0" quotePrefix="0" xfId="0"/>
    <xf numFmtId="0" fontId="23" fillId="0" borderId="44" applyAlignment="1" pivotButton="0" quotePrefix="0" xfId="0">
      <alignment horizontal="right" vertical="center"/>
    </xf>
    <xf numFmtId="0" fontId="24" fillId="0" borderId="45" pivotButton="0" quotePrefix="0" xfId="0"/>
    <xf numFmtId="0" fontId="23" fillId="0" borderId="47" applyAlignment="1" pivotButton="0" quotePrefix="0" xfId="0">
      <alignment horizontal="right" vertical="center"/>
    </xf>
    <xf numFmtId="0" fontId="23" fillId="0" borderId="46" applyAlignment="1" pivotButton="0" quotePrefix="0" xfId="0">
      <alignment horizontal="right" vertical="center"/>
    </xf>
    <xf numFmtId="0" fontId="25" fillId="0" borderId="44" applyAlignment="1" pivotButton="0" quotePrefix="0" xfId="0">
      <alignment vertical="center"/>
    </xf>
    <xf numFmtId="3" fontId="25" fillId="0" borderId="44" applyAlignment="1" pivotButton="0" quotePrefix="0" xfId="0">
      <alignment horizontal="right" vertical="center"/>
    </xf>
    <xf numFmtId="3" fontId="25" fillId="0" borderId="49" applyAlignment="1" pivotButton="0" quotePrefix="0" xfId="0">
      <alignment horizontal="right" vertical="center"/>
    </xf>
    <xf numFmtId="3" fontId="23" fillId="0" borderId="48" applyAlignment="1" pivotButton="0" quotePrefix="0" xfId="0">
      <alignment horizontal="left" vertical="center"/>
    </xf>
    <xf numFmtId="3" fontId="23" fillId="0" borderId="48" applyAlignment="1" pivotButton="0" quotePrefix="0" xfId="0">
      <alignment horizontal="right" vertical="center"/>
    </xf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6" fontId="17" fillId="0" borderId="9" pivotButton="0" quotePrefix="0" xfId="10"/>
    <xf numFmtId="166" fontId="17" fillId="0" borderId="10" pivotButton="0" quotePrefix="0" xfId="10"/>
    <xf numFmtId="166" fontId="14" fillId="0" borderId="5" pivotButton="0" quotePrefix="0" xfId="10"/>
    <xf numFmtId="166" fontId="17" fillId="0" borderId="5" pivotButton="0" quotePrefix="0" xfId="10"/>
    <xf numFmtId="165" fontId="9" fillId="0" borderId="15" pivotButton="0" quotePrefix="0" xfId="1"/>
    <xf numFmtId="43" fontId="26" fillId="20" borderId="0" pivotButton="0" quotePrefix="0" xfId="1"/>
    <xf numFmtId="0" fontId="27" fillId="0" borderId="0" pivotButton="0" quotePrefix="0" xfId="0"/>
    <xf numFmtId="0" fontId="29" fillId="0" borderId="0" pivotButton="0" quotePrefix="0" xfId="0"/>
    <xf numFmtId="43" fontId="28" fillId="0" borderId="0" applyAlignment="1" pivotButton="0" quotePrefix="0" xfId="1">
      <alignment horizontal="center"/>
    </xf>
    <xf numFmtId="165" fontId="20" fillId="0" borderId="0" pivotButton="0" quotePrefix="0" xfId="1"/>
    <xf numFmtId="165" fontId="19" fillId="0" borderId="0" pivotButton="0" quotePrefix="0" xfId="1"/>
    <xf numFmtId="165" fontId="5" fillId="0" borderId="0" pivotButton="0" quotePrefix="0" xfId="0"/>
    <xf numFmtId="165" fontId="20" fillId="0" borderId="0" pivotButton="0" quotePrefix="0" xfId="0"/>
    <xf numFmtId="165" fontId="19" fillId="0" borderId="0" pivotButton="0" quotePrefix="0" xfId="0"/>
    <xf numFmtId="165" fontId="10" fillId="0" borderId="0" pivotButton="0" quotePrefix="0" xfId="0"/>
    <xf numFmtId="165" fontId="19" fillId="0" borderId="15" pivotButton="0" quotePrefix="0" xfId="1"/>
    <xf numFmtId="165" fontId="19" fillId="0" borderId="43" pivotButton="0" quotePrefix="0" xfId="1"/>
    <xf numFmtId="0" fontId="20" fillId="0" borderId="0" applyAlignment="1" pivotButton="0" quotePrefix="0" xfId="0">
      <alignment vertical="top"/>
    </xf>
    <xf numFmtId="0" fontId="30" fillId="0" borderId="0" applyAlignment="1" pivotButton="0" quotePrefix="0" xfId="0">
      <alignment horizontal="left" vertical="center"/>
    </xf>
    <xf numFmtId="0" fontId="30" fillId="0" borderId="0" applyAlignment="1" pivotButton="0" quotePrefix="0" xfId="0">
      <alignment horizontal="left"/>
    </xf>
    <xf numFmtId="0" fontId="19" fillId="0" borderId="0" applyAlignment="1" pivotButton="0" quotePrefix="0" xfId="0">
      <alignment horizontal="center"/>
    </xf>
    <xf numFmtId="0" fontId="31" fillId="0" borderId="0" applyAlignment="1" pivotButton="0" quotePrefix="0" xfId="0">
      <alignment horizontal="left" vertical="center"/>
    </xf>
    <xf numFmtId="0" fontId="32" fillId="0" borderId="0" pivotButton="0" quotePrefix="0" xfId="0"/>
    <xf numFmtId="0" fontId="34" fillId="0" borderId="0" applyAlignment="1" pivotButton="0" quotePrefix="0" xfId="0">
      <alignment horizontal="right"/>
    </xf>
    <xf numFmtId="0" fontId="34" fillId="0" borderId="0" pivotButton="0" quotePrefix="0" xfId="0"/>
    <xf numFmtId="0" fontId="33" fillId="0" borderId="0" pivotButton="0" quotePrefix="0" xfId="0"/>
    <xf numFmtId="165" fontId="38" fillId="17" borderId="0" pivotButton="0" quotePrefix="0" xfId="1"/>
    <xf numFmtId="165" fontId="38" fillId="0" borderId="0" pivotButton="0" quotePrefix="0" xfId="1"/>
    <xf numFmtId="165" fontId="38" fillId="15" borderId="0" pivotButton="0" quotePrefix="0" xfId="1"/>
    <xf numFmtId="165" fontId="38" fillId="18" borderId="0" pivotButton="0" quotePrefix="0" xfId="1"/>
    <xf numFmtId="165" fontId="38" fillId="16" borderId="0" pivotButton="0" quotePrefix="0" xfId="1"/>
    <xf numFmtId="165" fontId="38" fillId="19" borderId="0" pivotButton="0" quotePrefix="0" xfId="1"/>
    <xf numFmtId="0" fontId="14" fillId="0" borderId="0" pivotButton="0" quotePrefix="0" xfId="0"/>
    <xf numFmtId="0" fontId="20" fillId="0" borderId="0" applyProtection="1" pivotButton="0" quotePrefix="0" xfId="17">
      <protection locked="0" hidden="0"/>
    </xf>
    <xf numFmtId="0" fontId="37" fillId="0" borderId="0" applyProtection="1" pivotButton="0" quotePrefix="0" xfId="17">
      <protection locked="0" hidden="0"/>
    </xf>
    <xf numFmtId="165" fontId="20" fillId="0" borderId="0" applyProtection="1" pivotButton="0" quotePrefix="0" xfId="1">
      <protection locked="0" hidden="0"/>
    </xf>
    <xf numFmtId="165" fontId="19" fillId="0" borderId="15" applyProtection="1" pivotButton="0" quotePrefix="0" xfId="1">
      <protection locked="0" hidden="0"/>
    </xf>
    <xf numFmtId="10" fontId="14" fillId="0" borderId="0" pivotButton="0" quotePrefix="0" xfId="11"/>
    <xf numFmtId="0" fontId="39" fillId="0" borderId="0" pivotButton="0" quotePrefix="0" xfId="0"/>
    <xf numFmtId="43" fontId="14" fillId="0" borderId="0" pivotButton="0" quotePrefix="0" xfId="1"/>
    <xf numFmtId="0" fontId="39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43" fontId="14" fillId="0" borderId="0" applyProtection="1" pivotButton="0" quotePrefix="0" xfId="1">
      <protection locked="0" hidden="0"/>
    </xf>
    <xf numFmtId="0" fontId="14" fillId="0" borderId="0" applyProtection="1" pivotButton="0" quotePrefix="0" xfId="7">
      <protection locked="0" hidden="0"/>
    </xf>
    <xf numFmtId="165" fontId="20" fillId="0" borderId="15" applyProtection="1" pivotButton="0" quotePrefix="0" xfId="1">
      <protection locked="0" hidden="0"/>
    </xf>
    <xf numFmtId="43" fontId="38" fillId="0" borderId="0" pivotButton="0" quotePrefix="0" xfId="1"/>
    <xf numFmtId="43" fontId="40" fillId="0" borderId="0" applyAlignment="1" pivotButton="0" quotePrefix="0" xfId="1">
      <alignment horizontal="left"/>
    </xf>
    <xf numFmtId="43" fontId="40" fillId="0" borderId="0" applyAlignment="1" pivotButton="0" quotePrefix="0" xfId="1">
      <alignment horizontal="center"/>
    </xf>
    <xf numFmtId="0" fontId="8" fillId="0" borderId="0" pivotButton="0" quotePrefix="0" xfId="0"/>
    <xf numFmtId="43" fontId="40" fillId="0" borderId="0" pivotButton="0" quotePrefix="0" xfId="1"/>
    <xf numFmtId="0" fontId="40" fillId="0" borderId="0" pivotButton="0" quotePrefix="0" xfId="0"/>
    <xf numFmtId="165" fontId="8" fillId="0" borderId="0" pivotButton="0" quotePrefix="0" xfId="0"/>
    <xf numFmtId="43" fontId="38" fillId="0" borderId="43" pivotButton="0" quotePrefix="0" xfId="1"/>
    <xf numFmtId="164" fontId="20" fillId="0" borderId="0" applyProtection="1" pivotButton="0" quotePrefix="0" xfId="1">
      <protection locked="0" hidden="0"/>
    </xf>
    <xf numFmtId="10" fontId="14" fillId="0" borderId="0" pivotButton="0" quotePrefix="0" xfId="11"/>
    <xf numFmtId="166" fontId="14" fillId="0" borderId="0" applyAlignment="1" pivotButton="0" quotePrefix="0" xfId="0">
      <alignment horizontal="center"/>
    </xf>
    <xf numFmtId="43" fontId="38" fillId="0" borderId="0" pivotButton="0" quotePrefix="0" xfId="1"/>
    <xf numFmtId="43" fontId="3" fillId="0" borderId="44" pivotButton="0" quotePrefix="0" xfId="1"/>
    <xf numFmtId="43" fontId="3" fillId="0" borderId="10" pivotButton="0" quotePrefix="0" xfId="1"/>
    <xf numFmtId="0" fontId="37" fillId="0" borderId="0" applyAlignment="1" applyProtection="1" pivotButton="0" quotePrefix="0" xfId="17">
      <alignment horizontal="center"/>
      <protection locked="0" hidden="0"/>
    </xf>
    <xf numFmtId="43" fontId="3" fillId="0" borderId="0" applyAlignment="1" pivotButton="0" quotePrefix="0" xfId="1">
      <alignment horizontal="left" vertical="center"/>
    </xf>
    <xf numFmtId="43" fontId="3" fillId="0" borderId="0" pivotButton="0" quotePrefix="0" xfId="1"/>
    <xf numFmtId="43" fontId="3" fillId="0" borderId="0" applyAlignment="1" pivotButton="0" quotePrefix="0" xfId="1">
      <alignment vertical="center"/>
    </xf>
    <xf numFmtId="9" fontId="3" fillId="0" borderId="0" pivotButton="0" quotePrefix="0" xfId="11"/>
    <xf numFmtId="0" fontId="41" fillId="0" borderId="53" applyAlignment="1" pivotButton="0" quotePrefix="0" xfId="0">
      <alignment vertical="top"/>
    </xf>
    <xf numFmtId="0" fontId="43" fillId="0" borderId="54" applyAlignment="1" pivotButton="0" quotePrefix="0" xfId="0">
      <alignment horizontal="justify" vertical="center"/>
    </xf>
    <xf numFmtId="0" fontId="43" fillId="0" borderId="54" applyAlignment="1" pivotButton="0" quotePrefix="0" xfId="0">
      <alignment horizontal="right" vertical="center"/>
    </xf>
    <xf numFmtId="0" fontId="43" fillId="0" borderId="53" applyAlignment="1" pivotButton="0" quotePrefix="0" xfId="0">
      <alignment horizontal="justify" vertical="center"/>
    </xf>
    <xf numFmtId="3" fontId="43" fillId="0" borderId="54" applyAlignment="1" pivotButton="0" quotePrefix="0" xfId="0">
      <alignment horizontal="center" vertical="center"/>
    </xf>
    <xf numFmtId="3" fontId="43" fillId="0" borderId="54" applyAlignment="1" pivotButton="0" quotePrefix="0" xfId="0">
      <alignment horizontal="right" vertical="center"/>
    </xf>
    <xf numFmtId="0" fontId="42" fillId="0" borderId="53" applyAlignment="1" pivotButton="0" quotePrefix="0" xfId="0">
      <alignment horizontal="justify" vertical="center"/>
    </xf>
    <xf numFmtId="3" fontId="42" fillId="0" borderId="54" applyAlignment="1" pivotButton="0" quotePrefix="0" xfId="0">
      <alignment horizontal="center" vertical="center"/>
    </xf>
    <xf numFmtId="0" fontId="42" fillId="0" borderId="54" applyAlignment="1" pivotButton="0" quotePrefix="0" xfId="0">
      <alignment horizontal="right" vertical="center"/>
    </xf>
    <xf numFmtId="3" fontId="42" fillId="0" borderId="54" applyAlignment="1" pivotButton="0" quotePrefix="0" xfId="0">
      <alignment horizontal="right" vertical="center"/>
    </xf>
    <xf numFmtId="0" fontId="42" fillId="0" borderId="52" applyAlignment="1" pivotButton="0" quotePrefix="0" xfId="0">
      <alignment horizontal="center" vertical="center" wrapText="1"/>
    </xf>
    <xf numFmtId="0" fontId="42" fillId="0" borderId="51" applyAlignment="1" pivotButton="0" quotePrefix="0" xfId="0">
      <alignment horizontal="center" vertical="center" wrapText="1"/>
    </xf>
    <xf numFmtId="164" fontId="43" fillId="0" borderId="54" applyAlignment="1" pivotButton="0" quotePrefix="0" xfId="0">
      <alignment horizontal="right" vertical="center"/>
    </xf>
    <xf numFmtId="0" fontId="11" fillId="0" borderId="44" applyAlignment="1" pivotButton="0" quotePrefix="0" xfId="0">
      <alignment horizontal="center"/>
    </xf>
    <xf numFmtId="0" fontId="0" fillId="0" borderId="44" pivotButton="0" quotePrefix="0" xfId="0"/>
    <xf numFmtId="0" fontId="0" fillId="0" borderId="44" applyAlignment="1" pivotButton="0" quotePrefix="0" xfId="0">
      <alignment horizontal="center"/>
    </xf>
    <xf numFmtId="166" fontId="0" fillId="0" borderId="44" pivotButton="0" quotePrefix="0" xfId="0"/>
    <xf numFmtId="0" fontId="9" fillId="0" borderId="44" pivotButton="0" quotePrefix="0" xfId="0"/>
    <xf numFmtId="0" fontId="9" fillId="0" borderId="44" applyAlignment="1" pivotButton="0" quotePrefix="0" xfId="0">
      <alignment horizontal="center"/>
    </xf>
    <xf numFmtId="166" fontId="9" fillId="0" borderId="44" pivotButton="0" quotePrefix="0" xfId="0"/>
    <xf numFmtId="165" fontId="14" fillId="0" borderId="0" pivotButton="0" quotePrefix="0" xfId="0"/>
    <xf numFmtId="164" fontId="14" fillId="0" borderId="0" pivotButton="0" quotePrefix="0" xfId="0"/>
    <xf numFmtId="165" fontId="39" fillId="0" borderId="0" applyAlignment="1" pivotButton="0" quotePrefix="0" xfId="0">
      <alignment horizontal="center"/>
    </xf>
    <xf numFmtId="165" fontId="20" fillId="0" borderId="0" applyProtection="1" pivotButton="0" quotePrefix="0" xfId="1">
      <protection locked="0" hidden="0"/>
    </xf>
    <xf numFmtId="167" fontId="20" fillId="0" borderId="0" applyProtection="1" pivotButton="0" quotePrefix="0" xfId="1">
      <protection locked="0" hidden="0"/>
    </xf>
    <xf numFmtId="0" fontId="44" fillId="0" borderId="0" pivotButton="0" quotePrefix="0" xfId="15"/>
    <xf numFmtId="164" fontId="44" fillId="0" borderId="0" pivotButton="0" quotePrefix="0" xfId="15"/>
    <xf numFmtId="0" fontId="39" fillId="0" borderId="2" applyProtection="1" pivotButton="0" quotePrefix="0" xfId="15">
      <protection locked="0" hidden="0"/>
    </xf>
    <xf numFmtId="0" fontId="39" fillId="0" borderId="2" applyProtection="1" pivotButton="0" quotePrefix="0" xfId="15">
      <protection locked="0" hidden="1"/>
    </xf>
    <xf numFmtId="164" fontId="44" fillId="0" borderId="7" applyAlignment="1" applyProtection="1" pivotButton="0" quotePrefix="0" xfId="16">
      <alignment horizontal="center"/>
      <protection locked="0" hidden="1"/>
    </xf>
    <xf numFmtId="164" fontId="44" fillId="0" borderId="16" applyAlignment="1" applyProtection="1" pivotButton="0" quotePrefix="0" xfId="16">
      <alignment horizontal="center"/>
      <protection locked="0" hidden="1"/>
    </xf>
    <xf numFmtId="164" fontId="44" fillId="0" borderId="2" applyAlignment="1" applyProtection="1" pivotButton="0" quotePrefix="0" xfId="16">
      <alignment horizontal="center"/>
      <protection locked="0" hidden="1"/>
    </xf>
    <xf numFmtId="164" fontId="44" fillId="0" borderId="17" applyAlignment="1" applyProtection="1" pivotButton="0" quotePrefix="0" xfId="16">
      <alignment horizontal="center"/>
      <protection locked="0" hidden="1"/>
    </xf>
    <xf numFmtId="0" fontId="44" fillId="0" borderId="0" applyProtection="1" pivotButton="0" quotePrefix="0" xfId="15">
      <protection locked="0" hidden="1"/>
    </xf>
    <xf numFmtId="0" fontId="17" fillId="0" borderId="3" applyProtection="1" pivotButton="0" quotePrefix="0" xfId="17">
      <protection locked="0" hidden="0"/>
    </xf>
    <xf numFmtId="168" fontId="45" fillId="3" borderId="5" applyAlignment="1" applyProtection="1" pivotButton="0" quotePrefix="0" xfId="15">
      <alignment horizontal="left"/>
      <protection locked="0" hidden="0"/>
    </xf>
    <xf numFmtId="168" fontId="45" fillId="0" borderId="5" applyAlignment="1" applyProtection="1" pivotButton="0" quotePrefix="0" xfId="15">
      <alignment horizontal="right"/>
      <protection locked="0" hidden="0"/>
    </xf>
    <xf numFmtId="168" fontId="44" fillId="0" borderId="0" applyAlignment="1" applyProtection="1" pivotButton="0" quotePrefix="0" xfId="15">
      <alignment horizontal="right"/>
      <protection locked="0" hidden="0"/>
    </xf>
    <xf numFmtId="168" fontId="44" fillId="0" borderId="8" applyProtection="1" pivotButton="0" quotePrefix="0" xfId="15">
      <protection locked="0" hidden="0"/>
    </xf>
    <xf numFmtId="168" fontId="44" fillId="0" borderId="4" applyAlignment="1" applyProtection="1" pivotButton="0" quotePrefix="0" xfId="15">
      <alignment horizontal="right"/>
      <protection locked="0" hidden="0"/>
    </xf>
    <xf numFmtId="168" fontId="45" fillId="0" borderId="0" applyAlignment="1" applyProtection="1" pivotButton="0" quotePrefix="0" xfId="15">
      <alignment horizontal="right"/>
      <protection locked="0" hidden="0"/>
    </xf>
    <xf numFmtId="168" fontId="44" fillId="0" borderId="0" applyProtection="1" pivotButton="0" quotePrefix="0" xfId="15">
      <protection locked="0" hidden="0"/>
    </xf>
    <xf numFmtId="0" fontId="44" fillId="0" borderId="0" applyProtection="1" pivotButton="0" quotePrefix="0" xfId="15">
      <protection locked="0" hidden="0"/>
    </xf>
    <xf numFmtId="0" fontId="44" fillId="0" borderId="3" applyProtection="1" pivotButton="0" quotePrefix="0" xfId="15">
      <protection locked="0" hidden="0"/>
    </xf>
    <xf numFmtId="164" fontId="14" fillId="5" borderId="9" applyProtection="1" pivotButton="0" quotePrefix="0" xfId="16">
      <protection locked="0" hidden="0"/>
    </xf>
    <xf numFmtId="165" fontId="14" fillId="4" borderId="9" applyAlignment="1" applyProtection="1" pivotButton="0" quotePrefix="0" xfId="1">
      <alignment horizontal="right"/>
      <protection locked="0" hidden="0"/>
    </xf>
    <xf numFmtId="165" fontId="14" fillId="4" borderId="10" applyAlignment="1" applyProtection="1" pivotButton="0" quotePrefix="0" xfId="1">
      <alignment horizontal="right"/>
      <protection locked="0" hidden="0"/>
    </xf>
    <xf numFmtId="167" fontId="44" fillId="5" borderId="11" applyAlignment="1" applyProtection="1" pivotButton="0" quotePrefix="0" xfId="16">
      <alignment horizontal="center"/>
      <protection locked="0" hidden="0"/>
    </xf>
    <xf numFmtId="167" fontId="44" fillId="0" borderId="11" applyAlignment="1" applyProtection="1" pivotButton="0" quotePrefix="0" xfId="16">
      <alignment horizontal="center"/>
      <protection locked="0" hidden="0"/>
    </xf>
    <xf numFmtId="167" fontId="44" fillId="5" borderId="9" applyAlignment="1" applyProtection="1" pivotButton="0" quotePrefix="0" xfId="16">
      <alignment horizontal="center"/>
      <protection locked="0" hidden="0"/>
    </xf>
    <xf numFmtId="167" fontId="44" fillId="5" borderId="10" applyAlignment="1" applyProtection="1" pivotButton="0" quotePrefix="0" xfId="16">
      <alignment horizontal="center"/>
      <protection locked="0" hidden="0"/>
    </xf>
    <xf numFmtId="0" fontId="14" fillId="0" borderId="3" applyProtection="1" pivotButton="0" quotePrefix="0" xfId="17">
      <protection locked="0" hidden="0"/>
    </xf>
    <xf numFmtId="164" fontId="14" fillId="5" borderId="5" applyProtection="1" pivotButton="0" quotePrefix="0" xfId="16">
      <protection locked="0" hidden="0"/>
    </xf>
    <xf numFmtId="167" fontId="44" fillId="4" borderId="5" applyAlignment="1" applyProtection="1" pivotButton="0" quotePrefix="0" xfId="16">
      <alignment horizontal="center"/>
      <protection locked="0" hidden="0"/>
    </xf>
    <xf numFmtId="167" fontId="44" fillId="4" borderId="0" applyAlignment="1" applyProtection="1" pivotButton="0" quotePrefix="0" xfId="16">
      <alignment horizontal="center"/>
      <protection locked="0" hidden="0"/>
    </xf>
    <xf numFmtId="167" fontId="44" fillId="4" borderId="8" applyAlignment="1" applyProtection="1" pivotButton="0" quotePrefix="0" xfId="16">
      <alignment horizontal="center"/>
      <protection locked="0" hidden="0"/>
    </xf>
    <xf numFmtId="167" fontId="44" fillId="0" borderId="8" applyAlignment="1" applyProtection="1" pivotButton="0" quotePrefix="0" xfId="16">
      <alignment horizontal="center"/>
      <protection locked="0" hidden="0"/>
    </xf>
    <xf numFmtId="167" fontId="44" fillId="5" borderId="5" applyAlignment="1" applyProtection="1" pivotButton="0" quotePrefix="0" xfId="16">
      <alignment horizontal="center"/>
      <protection locked="0" hidden="0"/>
    </xf>
    <xf numFmtId="167" fontId="44" fillId="5" borderId="0" applyAlignment="1" applyProtection="1" pivotButton="0" quotePrefix="0" xfId="16">
      <alignment horizontal="center"/>
      <protection locked="0" hidden="0"/>
    </xf>
    <xf numFmtId="167" fontId="44" fillId="5" borderId="8" applyAlignment="1" applyProtection="1" pivotButton="0" quotePrefix="0" xfId="16">
      <alignment horizontal="center"/>
      <protection locked="0" hidden="0"/>
    </xf>
    <xf numFmtId="164" fontId="14" fillId="5" borderId="12" applyProtection="1" pivotButton="0" quotePrefix="0" xfId="16">
      <protection locked="0" hidden="0"/>
    </xf>
    <xf numFmtId="167" fontId="44" fillId="5" borderId="12" applyAlignment="1" applyProtection="1" pivotButton="0" quotePrefix="0" xfId="16">
      <alignment horizontal="center"/>
      <protection locked="0" hidden="0"/>
    </xf>
    <xf numFmtId="167" fontId="44" fillId="4" borderId="13" applyAlignment="1" applyProtection="1" pivotButton="0" quotePrefix="0" xfId="16">
      <alignment horizontal="center"/>
      <protection locked="0" hidden="0"/>
    </xf>
    <xf numFmtId="167" fontId="44" fillId="5" borderId="14" applyAlignment="1" applyProtection="1" pivotButton="0" quotePrefix="0" xfId="16">
      <alignment horizontal="center"/>
      <protection locked="0" hidden="0"/>
    </xf>
    <xf numFmtId="167" fontId="44" fillId="0" borderId="14" applyAlignment="1" applyProtection="1" pivotButton="0" quotePrefix="0" xfId="16">
      <alignment horizontal="center"/>
      <protection locked="0" hidden="0"/>
    </xf>
    <xf numFmtId="167" fontId="44" fillId="5" borderId="13" applyAlignment="1" applyProtection="1" pivotButton="0" quotePrefix="0" xfId="16">
      <alignment horizontal="center"/>
      <protection locked="0" hidden="0"/>
    </xf>
    <xf numFmtId="0" fontId="17" fillId="0" borderId="2" applyProtection="1" pivotButton="0" quotePrefix="0" xfId="15">
      <protection locked="0" hidden="0"/>
    </xf>
    <xf numFmtId="164" fontId="44" fillId="0" borderId="2" applyProtection="1" pivotButton="0" quotePrefix="0" xfId="16">
      <protection locked="0" hidden="1"/>
    </xf>
    <xf numFmtId="167" fontId="14" fillId="0" borderId="13" applyAlignment="1" applyProtection="1" pivotButton="0" quotePrefix="0" xfId="16">
      <alignment horizontal="center"/>
      <protection locked="0" hidden="1"/>
    </xf>
    <xf numFmtId="167" fontId="14" fillId="0" borderId="2" applyAlignment="1" applyProtection="1" pivotButton="0" quotePrefix="0" xfId="16">
      <alignment horizontal="center"/>
      <protection locked="0" hidden="1"/>
    </xf>
    <xf numFmtId="167" fontId="44" fillId="5" borderId="7" applyAlignment="1" applyProtection="1" pivotButton="0" quotePrefix="0" xfId="16">
      <alignment horizontal="center"/>
      <protection locked="0" hidden="0"/>
    </xf>
    <xf numFmtId="167" fontId="44" fillId="5" borderId="16" applyAlignment="1" applyProtection="1" pivotButton="0" quotePrefix="0" xfId="16">
      <alignment horizontal="center"/>
      <protection locked="0" hidden="0"/>
    </xf>
    <xf numFmtId="167" fontId="44" fillId="5" borderId="17" applyAlignment="1" applyProtection="1" pivotButton="0" quotePrefix="0" xfId="16">
      <alignment horizontal="center"/>
      <protection locked="0" hidden="0"/>
    </xf>
    <xf numFmtId="167" fontId="17" fillId="0" borderId="0" applyProtection="1" pivotButton="0" quotePrefix="0" xfId="16">
      <protection locked="0" hidden="1"/>
    </xf>
    <xf numFmtId="167" fontId="44" fillId="0" borderId="0" applyProtection="1" pivotButton="0" quotePrefix="0" xfId="16">
      <protection locked="0" hidden="1"/>
    </xf>
    <xf numFmtId="167" fontId="44" fillId="0" borderId="0" applyProtection="1" pivotButton="0" quotePrefix="0" xfId="16">
      <protection locked="0" hidden="1"/>
    </xf>
    <xf numFmtId="167" fontId="44" fillId="0" borderId="0" applyProtection="1" pivotButton="0" quotePrefix="0" xfId="16">
      <protection locked="0" hidden="1"/>
    </xf>
    <xf numFmtId="0" fontId="45" fillId="0" borderId="0" applyProtection="1" pivotButton="0" quotePrefix="0" xfId="15">
      <protection locked="0" hidden="0"/>
    </xf>
    <xf numFmtId="0" fontId="39" fillId="0" borderId="4" applyProtection="1" pivotButton="0" quotePrefix="0" xfId="15">
      <protection locked="0" hidden="0"/>
    </xf>
    <xf numFmtId="164" fontId="44" fillId="0" borderId="2" applyAlignment="1" applyProtection="1" pivotButton="0" quotePrefix="0" xfId="16">
      <alignment horizontal="center"/>
      <protection locked="0" hidden="1"/>
    </xf>
    <xf numFmtId="168" fontId="44" fillId="0" borderId="5" applyProtection="1" pivotButton="0" quotePrefix="0" xfId="15">
      <protection locked="0" hidden="0"/>
    </xf>
    <xf numFmtId="167" fontId="44" fillId="7" borderId="5" pivotButton="0" quotePrefix="0" xfId="16"/>
    <xf numFmtId="167" fontId="44" fillId="7" borderId="3" pivotButton="0" quotePrefix="0" xfId="16"/>
    <xf numFmtId="167" fontId="44" fillId="7" borderId="0" pivotButton="0" quotePrefix="0" xfId="16"/>
    <xf numFmtId="167" fontId="44" fillId="7" borderId="4" pivotButton="0" quotePrefix="0" xfId="16"/>
    <xf numFmtId="167" fontId="44" fillId="7" borderId="9" pivotButton="0" quotePrefix="0" xfId="16"/>
    <xf numFmtId="167" fontId="44" fillId="7" borderId="10" pivotButton="0" quotePrefix="0" xfId="16"/>
    <xf numFmtId="167" fontId="44" fillId="7" borderId="11" pivotButton="0" quotePrefix="0" xfId="16"/>
    <xf numFmtId="167" fontId="44" fillId="7" borderId="8" pivotButton="0" quotePrefix="0" xfId="16"/>
    <xf numFmtId="167" fontId="44" fillId="7" borderId="6" pivotButton="0" quotePrefix="0" xfId="16"/>
    <xf numFmtId="167" fontId="44" fillId="7" borderId="12" pivotButton="0" quotePrefix="0" xfId="16"/>
    <xf numFmtId="167" fontId="44" fillId="7" borderId="13" pivotButton="0" quotePrefix="0" xfId="16"/>
    <xf numFmtId="167" fontId="44" fillId="7" borderId="14" pivotButton="0" quotePrefix="0" xfId="16"/>
    <xf numFmtId="0" fontId="44" fillId="0" borderId="2" applyProtection="1" pivotButton="0" quotePrefix="0" xfId="15">
      <protection locked="0" hidden="1"/>
    </xf>
    <xf numFmtId="167" fontId="44" fillId="7" borderId="16" applyProtection="1" pivotButton="0" quotePrefix="0" xfId="16">
      <protection locked="1" hidden="1"/>
    </xf>
    <xf numFmtId="167" fontId="44" fillId="7" borderId="2" applyProtection="1" pivotButton="0" quotePrefix="0" xfId="16">
      <protection locked="1" hidden="1"/>
    </xf>
    <xf numFmtId="0" fontId="17" fillId="0" borderId="0" applyProtection="1" pivotButton="0" quotePrefix="0" xfId="15">
      <protection locked="0" hidden="0"/>
    </xf>
    <xf numFmtId="168" fontId="44" fillId="0" borderId="0" applyProtection="1" pivotButton="0" quotePrefix="0" xfId="15">
      <protection locked="0" hidden="1"/>
    </xf>
    <xf numFmtId="164" fontId="44" fillId="0" borderId="9" applyAlignment="1" applyProtection="1" pivotButton="0" quotePrefix="0" xfId="16">
      <alignment horizontal="center"/>
      <protection locked="0" hidden="1"/>
    </xf>
    <xf numFmtId="164" fontId="44" fillId="0" borderId="10" applyAlignment="1" applyProtection="1" pivotButton="0" quotePrefix="0" xfId="16">
      <alignment horizontal="center"/>
      <protection locked="0" hidden="1"/>
    </xf>
    <xf numFmtId="164" fontId="44" fillId="0" borderId="11" applyAlignment="1" applyProtection="1" pivotButton="0" quotePrefix="0" xfId="16">
      <alignment horizontal="center"/>
      <protection locked="0" hidden="1"/>
    </xf>
    <xf numFmtId="0" fontId="44" fillId="0" borderId="3" applyProtection="1" pivotButton="0" quotePrefix="0" xfId="17">
      <protection locked="0" hidden="0"/>
    </xf>
    <xf numFmtId="0" fontId="39" fillId="0" borderId="3" applyProtection="1" pivotButton="0" quotePrefix="0" xfId="15">
      <protection locked="0" hidden="1"/>
    </xf>
    <xf numFmtId="164" fontId="44" fillId="5" borderId="0" applyProtection="1" pivotButton="0" quotePrefix="0" xfId="16">
      <protection locked="0" hidden="0"/>
    </xf>
    <xf numFmtId="167" fontId="44" fillId="5" borderId="0" applyProtection="1" pivotButton="0" quotePrefix="0" xfId="16">
      <protection locked="0" hidden="0"/>
    </xf>
    <xf numFmtId="167" fontId="44" fillId="0" borderId="3" applyProtection="1" pivotButton="0" quotePrefix="0" xfId="16">
      <protection locked="0" hidden="0"/>
    </xf>
    <xf numFmtId="165" fontId="44" fillId="5" borderId="0" applyProtection="1" pivotButton="0" quotePrefix="0" xfId="16">
      <protection locked="0" hidden="0"/>
    </xf>
    <xf numFmtId="0" fontId="44" fillId="0" borderId="6" applyProtection="1" pivotButton="0" quotePrefix="0" xfId="15">
      <protection locked="0" hidden="0"/>
    </xf>
    <xf numFmtId="169" fontId="44" fillId="5" borderId="0" applyProtection="1" pivotButton="0" quotePrefix="0" xfId="16">
      <protection locked="0" hidden="0"/>
    </xf>
    <xf numFmtId="169" fontId="44" fillId="5" borderId="8" applyProtection="1" pivotButton="0" quotePrefix="0" xfId="16">
      <protection locked="0" hidden="0"/>
    </xf>
    <xf numFmtId="169" fontId="44" fillId="0" borderId="6" applyProtection="1" pivotButton="0" quotePrefix="0" xfId="16">
      <protection locked="0" hidden="0"/>
    </xf>
    <xf numFmtId="166" fontId="44" fillId="0" borderId="16" applyProtection="1" pivotButton="0" quotePrefix="0" xfId="16">
      <protection locked="0" hidden="1"/>
    </xf>
    <xf numFmtId="166" fontId="44" fillId="20" borderId="16" applyProtection="1" pivotButton="0" quotePrefix="0" xfId="16">
      <protection locked="0" hidden="1"/>
    </xf>
    <xf numFmtId="0" fontId="39" fillId="0" borderId="0" applyProtection="1" pivotButton="0" quotePrefix="0" xfId="15">
      <protection locked="0" hidden="0"/>
    </xf>
    <xf numFmtId="0" fontId="39" fillId="0" borderId="0" applyProtection="1" pivotButton="0" quotePrefix="0" xfId="15">
      <protection locked="0" hidden="1"/>
    </xf>
    <xf numFmtId="169" fontId="44" fillId="0" borderId="0" applyProtection="1" pivotButton="0" quotePrefix="0" xfId="16">
      <protection locked="0" hidden="1"/>
    </xf>
    <xf numFmtId="0" fontId="45" fillId="0" borderId="0" applyProtection="1" pivotButton="0" quotePrefix="0" xfId="15">
      <protection locked="0" hidden="1"/>
    </xf>
    <xf numFmtId="0" fontId="46" fillId="0" borderId="4" applyProtection="1" pivotButton="0" quotePrefix="0" xfId="15">
      <protection locked="0" hidden="1"/>
    </xf>
    <xf numFmtId="0" fontId="44" fillId="0" borderId="7" applyProtection="1" pivotButton="0" quotePrefix="0" xfId="17">
      <protection locked="0" hidden="0"/>
    </xf>
    <xf numFmtId="169" fontId="44" fillId="5" borderId="7" applyProtection="1" pivotButton="0" quotePrefix="0" xfId="16">
      <protection locked="0" hidden="0"/>
    </xf>
    <xf numFmtId="169" fontId="44" fillId="5" borderId="16" applyProtection="1" pivotButton="0" quotePrefix="0" xfId="16">
      <protection locked="0" hidden="0"/>
    </xf>
    <xf numFmtId="169" fontId="44" fillId="0" borderId="2" applyProtection="1" pivotButton="0" quotePrefix="0" xfId="16">
      <protection locked="0" hidden="0"/>
    </xf>
    <xf numFmtId="169" fontId="44" fillId="5" borderId="17" applyProtection="1" pivotButton="0" quotePrefix="0" xfId="16">
      <protection locked="0" hidden="0"/>
    </xf>
    <xf numFmtId="1" fontId="39" fillId="0" borderId="0" pivotButton="0" quotePrefix="0" xfId="3"/>
    <xf numFmtId="1" fontId="14" fillId="0" borderId="0" pivotButton="0" quotePrefix="0" xfId="3"/>
    <xf numFmtId="1" fontId="17" fillId="0" borderId="0" pivotButton="0" quotePrefix="0" xfId="3"/>
    <xf numFmtId="1" fontId="17" fillId="0" borderId="0" applyAlignment="1" pivotButton="0" quotePrefix="0" xfId="3">
      <alignment horizontal="right"/>
    </xf>
    <xf numFmtId="170" fontId="17" fillId="0" borderId="0" applyAlignment="1" pivotButton="0" quotePrefix="0" xfId="3">
      <alignment horizontal="right"/>
    </xf>
    <xf numFmtId="1" fontId="14" fillId="0" borderId="0" applyProtection="1" pivotButton="0" quotePrefix="0" xfId="3">
      <protection locked="0" hidden="0"/>
    </xf>
    <xf numFmtId="1" fontId="14" fillId="0" borderId="0" applyAlignment="1" pivotButton="0" quotePrefix="0" xfId="3">
      <alignment vertical="center"/>
    </xf>
    <xf numFmtId="1" fontId="17" fillId="0" borderId="0" applyAlignment="1" pivotButton="0" quotePrefix="0" xfId="3">
      <alignment vertical="center"/>
    </xf>
    <xf numFmtId="1" fontId="14" fillId="0" borderId="13" applyAlignment="1" pivotButton="0" quotePrefix="0" xfId="3">
      <alignment vertical="center"/>
    </xf>
    <xf numFmtId="1" fontId="14" fillId="0" borderId="0" applyAlignment="1" applyProtection="1" pivotButton="0" quotePrefix="0" xfId="3">
      <alignment vertical="center"/>
      <protection locked="0" hidden="0"/>
    </xf>
    <xf numFmtId="1" fontId="17" fillId="0" borderId="7" applyAlignment="1" pivotButton="0" quotePrefix="0" xfId="3">
      <alignment vertical="center" wrapText="1"/>
    </xf>
    <xf numFmtId="1" fontId="17" fillId="0" borderId="27" applyAlignment="1" pivotButton="0" quotePrefix="0" xfId="3">
      <alignment horizontal="center" vertical="center" wrapText="1"/>
    </xf>
    <xf numFmtId="171" fontId="44" fillId="0" borderId="9" applyAlignment="1" pivotButton="0" quotePrefix="0" xfId="16">
      <alignment vertical="center" wrapText="1"/>
    </xf>
    <xf numFmtId="167" fontId="14" fillId="0" borderId="0" applyAlignment="1" pivotButton="0" quotePrefix="0" xfId="16">
      <alignment vertical="center"/>
    </xf>
    <xf numFmtId="167" fontId="14" fillId="0" borderId="9" applyAlignment="1" pivotButton="0" quotePrefix="0" xfId="16">
      <alignment vertical="center"/>
    </xf>
    <xf numFmtId="167" fontId="14" fillId="0" borderId="4" applyAlignment="1" pivotButton="0" quotePrefix="0" xfId="16">
      <alignment vertical="center"/>
    </xf>
    <xf numFmtId="1" fontId="14" fillId="0" borderId="5" applyAlignment="1" applyProtection="1" pivotButton="0" quotePrefix="0" xfId="3">
      <alignment vertical="center"/>
      <protection locked="0" hidden="0"/>
    </xf>
    <xf numFmtId="171" fontId="44" fillId="8" borderId="18" applyAlignment="1" pivotButton="0" quotePrefix="0" xfId="16">
      <alignment vertical="center" wrapText="1"/>
    </xf>
    <xf numFmtId="167" fontId="14" fillId="8" borderId="39" applyAlignment="1" pivotButton="0" quotePrefix="0" xfId="16">
      <alignment vertical="center"/>
    </xf>
    <xf numFmtId="167" fontId="14" fillId="8" borderId="18" applyAlignment="1" pivotButton="0" quotePrefix="0" xfId="16">
      <alignment vertical="center"/>
    </xf>
    <xf numFmtId="167" fontId="14" fillId="8" borderId="0" applyAlignment="1" pivotButton="0" quotePrefix="0" xfId="16">
      <alignment vertical="center"/>
    </xf>
    <xf numFmtId="167" fontId="14" fillId="2" borderId="55" applyAlignment="1" pivotButton="0" quotePrefix="0" xfId="16">
      <alignment vertical="center"/>
    </xf>
    <xf numFmtId="167" fontId="14" fillId="8" borderId="40" applyAlignment="1" pivotButton="0" quotePrefix="0" xfId="16">
      <alignment vertical="center"/>
    </xf>
    <xf numFmtId="167" fontId="14" fillId="8" borderId="41" applyAlignment="1" pivotButton="0" quotePrefix="0" xfId="16">
      <alignment vertical="center"/>
    </xf>
    <xf numFmtId="171" fontId="44" fillId="9" borderId="19" applyAlignment="1" pivotButton="0" quotePrefix="0" xfId="16">
      <alignment vertical="center" wrapText="1"/>
    </xf>
    <xf numFmtId="167" fontId="14" fillId="9" borderId="42" applyAlignment="1" pivotButton="0" quotePrefix="0" xfId="16">
      <alignment vertical="center"/>
    </xf>
    <xf numFmtId="167" fontId="14" fillId="9" borderId="24" applyAlignment="1" pivotButton="0" quotePrefix="0" xfId="16">
      <alignment vertical="center"/>
    </xf>
    <xf numFmtId="167" fontId="14" fillId="9" borderId="1" applyAlignment="1" pivotButton="0" quotePrefix="0" xfId="16">
      <alignment vertical="center"/>
    </xf>
    <xf numFmtId="167" fontId="14" fillId="9" borderId="50" applyAlignment="1" pivotButton="0" quotePrefix="0" xfId="16">
      <alignment vertical="center"/>
    </xf>
    <xf numFmtId="167" fontId="14" fillId="2" borderId="56" applyAlignment="1" pivotButton="0" quotePrefix="0" xfId="16">
      <alignment vertical="center"/>
    </xf>
    <xf numFmtId="167" fontId="14" fillId="9" borderId="35" applyAlignment="1" pivotButton="0" quotePrefix="0" xfId="16">
      <alignment vertical="center"/>
    </xf>
    <xf numFmtId="171" fontId="44" fillId="0" borderId="19" applyAlignment="1" pivotButton="0" quotePrefix="0" xfId="16">
      <alignment vertical="center" wrapText="1"/>
    </xf>
    <xf numFmtId="171" fontId="44" fillId="10" borderId="20" applyAlignment="1" pivotButton="0" quotePrefix="0" xfId="16">
      <alignment vertical="center" wrapText="1"/>
    </xf>
    <xf numFmtId="167" fontId="14" fillId="10" borderId="13" applyAlignment="1" pivotButton="0" quotePrefix="0" xfId="16">
      <alignment vertical="center"/>
    </xf>
    <xf numFmtId="167" fontId="14" fillId="10" borderId="12" applyAlignment="1" pivotButton="0" quotePrefix="0" xfId="16">
      <alignment vertical="center"/>
    </xf>
    <xf numFmtId="167" fontId="14" fillId="2" borderId="57" applyAlignment="1" pivotButton="0" quotePrefix="0" xfId="16">
      <alignment vertical="center"/>
    </xf>
    <xf numFmtId="167" fontId="14" fillId="10" borderId="14" applyAlignment="1" pivotButton="0" quotePrefix="0" xfId="16">
      <alignment vertical="center"/>
    </xf>
    <xf numFmtId="1" fontId="14" fillId="4" borderId="0" applyAlignment="1" applyProtection="1" pivotButton="0" quotePrefix="0" xfId="3">
      <alignment vertical="center"/>
      <protection locked="0" hidden="0"/>
    </xf>
    <xf numFmtId="171" fontId="44" fillId="0" borderId="70" applyAlignment="1" pivotButton="0" quotePrefix="0" xfId="16">
      <alignment vertical="center" wrapText="1"/>
    </xf>
    <xf numFmtId="1" fontId="17" fillId="0" borderId="72" applyAlignment="1" pivotButton="0" quotePrefix="0" xfId="3">
      <alignment horizontal="center" vertical="center" wrapText="1"/>
    </xf>
    <xf numFmtId="167" fontId="44" fillId="9" borderId="69" applyAlignment="1" pivotButton="0" quotePrefix="0" xfId="16">
      <alignment vertical="center"/>
    </xf>
    <xf numFmtId="167" fontId="44" fillId="9" borderId="22" applyAlignment="1" pivotButton="0" quotePrefix="0" xfId="16">
      <alignment vertical="center"/>
    </xf>
    <xf numFmtId="167" fontId="44" fillId="9" borderId="23" applyAlignment="1" pivotButton="0" quotePrefix="0" xfId="16">
      <alignment vertical="center"/>
    </xf>
    <xf numFmtId="171" fontId="44" fillId="0" borderId="71" applyAlignment="1" pivotButton="0" quotePrefix="0" xfId="16">
      <alignment vertical="center" wrapText="1"/>
    </xf>
    <xf numFmtId="167" fontId="14" fillId="0" borderId="5" applyAlignment="1" pivotButton="0" quotePrefix="0" xfId="16">
      <alignment vertical="center"/>
    </xf>
    <xf numFmtId="167" fontId="14" fillId="2" borderId="60" applyAlignment="1" pivotButton="0" quotePrefix="0" xfId="16">
      <alignment vertical="center"/>
    </xf>
    <xf numFmtId="167" fontId="14" fillId="0" borderId="58" applyAlignment="1" pivotButton="0" quotePrefix="0" xfId="16">
      <alignment vertical="center"/>
    </xf>
    <xf numFmtId="167" fontId="14" fillId="0" borderId="33" applyAlignment="1" pivotButton="0" quotePrefix="0" xfId="16">
      <alignment vertical="center"/>
    </xf>
    <xf numFmtId="167" fontId="14" fillId="0" borderId="34" applyAlignment="1" pivotButton="0" quotePrefix="0" xfId="16">
      <alignment vertical="center"/>
    </xf>
    <xf numFmtId="171" fontId="44" fillId="0" borderId="24" applyAlignment="1" pivotButton="0" quotePrefix="0" xfId="16">
      <alignment vertical="center" wrapText="1"/>
    </xf>
    <xf numFmtId="167" fontId="14" fillId="0" borderId="8" applyAlignment="1" pivotButton="0" quotePrefix="0" xfId="16">
      <alignment vertical="center"/>
    </xf>
    <xf numFmtId="167" fontId="14" fillId="9" borderId="19" applyAlignment="1" pivotButton="0" quotePrefix="0" xfId="16">
      <alignment vertical="center"/>
    </xf>
    <xf numFmtId="167" fontId="14" fillId="9" borderId="1" applyAlignment="1" pivotButton="0" quotePrefix="1" xfId="16">
      <alignment vertical="center"/>
    </xf>
    <xf numFmtId="171" fontId="44" fillId="11" borderId="20" applyAlignment="1" pivotButton="0" quotePrefix="0" xfId="16">
      <alignment vertical="center" wrapText="1"/>
    </xf>
    <xf numFmtId="167" fontId="14" fillId="11" borderId="37" applyAlignment="1" pivotButton="0" quotePrefix="0" xfId="16">
      <alignment vertical="center"/>
    </xf>
    <xf numFmtId="167" fontId="14" fillId="11" borderId="20" applyAlignment="1" pivotButton="0" quotePrefix="0" xfId="16">
      <alignment vertical="center"/>
    </xf>
    <xf numFmtId="167" fontId="14" fillId="11" borderId="36" applyAlignment="1" pivotButton="0" quotePrefix="0" xfId="16">
      <alignment vertical="center"/>
    </xf>
    <xf numFmtId="167" fontId="14" fillId="14" borderId="57" applyAlignment="1" pivotButton="0" quotePrefix="0" xfId="16">
      <alignment vertical="center"/>
    </xf>
    <xf numFmtId="167" fontId="14" fillId="11" borderId="59" applyAlignment="1" pivotButton="0" quotePrefix="0" xfId="16">
      <alignment vertical="center"/>
    </xf>
    <xf numFmtId="167" fontId="14" fillId="11" borderId="38" applyAlignment="1" pivotButton="0" quotePrefix="0" xfId="16">
      <alignment vertical="center"/>
    </xf>
    <xf numFmtId="1" fontId="17" fillId="0" borderId="0" applyAlignment="1" applyProtection="1" pivotButton="0" quotePrefix="0" xfId="3">
      <alignment vertical="center"/>
      <protection locked="0" hidden="0"/>
    </xf>
    <xf numFmtId="1" fontId="17" fillId="4" borderId="0" applyAlignment="1" applyProtection="1" pivotButton="0" quotePrefix="0" xfId="3">
      <alignment vertical="center"/>
      <protection locked="0" hidden="0"/>
    </xf>
    <xf numFmtId="171" fontId="44" fillId="9" borderId="21" applyAlignment="1" pivotButton="0" quotePrefix="0" xfId="16">
      <alignment vertical="center" wrapText="1"/>
    </xf>
    <xf numFmtId="171" fontId="44" fillId="10" borderId="25" applyAlignment="1" pivotButton="0" quotePrefix="0" xfId="16">
      <alignment vertical="center" wrapText="1"/>
    </xf>
    <xf numFmtId="167" fontId="14" fillId="11" borderId="32" applyAlignment="1" pivotButton="0" quotePrefix="0" xfId="16">
      <alignment vertical="center"/>
    </xf>
    <xf numFmtId="167" fontId="14" fillId="11" borderId="25" applyAlignment="1" pivotButton="0" quotePrefix="0" xfId="16">
      <alignment vertical="center"/>
    </xf>
    <xf numFmtId="167" fontId="14" fillId="11" borderId="28" applyAlignment="1" pivotButton="0" quotePrefix="0" xfId="16">
      <alignment vertical="center"/>
    </xf>
    <xf numFmtId="167" fontId="14" fillId="13" borderId="2" applyAlignment="1" pivotButton="0" quotePrefix="0" xfId="16">
      <alignment vertical="center"/>
    </xf>
    <xf numFmtId="167" fontId="14" fillId="11" borderId="61" applyAlignment="1" pivotButton="0" quotePrefix="0" xfId="16">
      <alignment vertical="center"/>
    </xf>
    <xf numFmtId="167" fontId="14" fillId="11" borderId="27" applyAlignment="1" pivotButton="0" quotePrefix="0" xfId="16">
      <alignment vertical="center"/>
    </xf>
    <xf numFmtId="171" fontId="44" fillId="12" borderId="26" applyAlignment="1" pivotButton="0" quotePrefix="0" xfId="16">
      <alignment vertical="center" wrapText="1"/>
    </xf>
    <xf numFmtId="167" fontId="14" fillId="12" borderId="25" applyAlignment="1" pivotButton="0" quotePrefix="0" xfId="16">
      <alignment vertical="center"/>
    </xf>
    <xf numFmtId="167" fontId="14" fillId="12" borderId="29" applyAlignment="1" pivotButton="0" quotePrefix="0" xfId="16">
      <alignment vertical="center"/>
    </xf>
    <xf numFmtId="167" fontId="14" fillId="12" borderId="30" applyAlignment="1" pivotButton="0" quotePrefix="0" xfId="16">
      <alignment vertical="center"/>
    </xf>
    <xf numFmtId="167" fontId="14" fillId="12" borderId="2" applyAlignment="1" pivotButton="0" quotePrefix="0" xfId="16">
      <alignment vertical="center"/>
    </xf>
    <xf numFmtId="167" fontId="14" fillId="12" borderId="62" applyAlignment="1" pivotButton="0" quotePrefix="0" xfId="16">
      <alignment vertical="center"/>
    </xf>
    <xf numFmtId="167" fontId="14" fillId="12" borderId="31" applyAlignment="1" pivotButton="0" quotePrefix="0" xfId="16">
      <alignment vertical="center"/>
    </xf>
    <xf numFmtId="1" fontId="14" fillId="6" borderId="0" applyAlignment="1" applyProtection="1" pivotButton="0" quotePrefix="0" xfId="3">
      <alignment vertical="center"/>
      <protection locked="0" hidden="0"/>
    </xf>
    <xf numFmtId="166" fontId="44" fillId="0" borderId="63" pivotButton="0" quotePrefix="0" xfId="15"/>
    <xf numFmtId="166" fontId="44" fillId="0" borderId="64" pivotButton="0" quotePrefix="0" xfId="15"/>
    <xf numFmtId="172" fontId="47" fillId="0" borderId="65" pivotButton="0" quotePrefix="0" xfId="15"/>
    <xf numFmtId="0" fontId="44" fillId="0" borderId="4" pivotButton="0" quotePrefix="0" xfId="15"/>
    <xf numFmtId="166" fontId="44" fillId="0" borderId="44" pivotButton="0" quotePrefix="0" xfId="15"/>
    <xf numFmtId="172" fontId="47" fillId="0" borderId="66" pivotButton="0" quotePrefix="0" xfId="15"/>
    <xf numFmtId="0" fontId="44" fillId="0" borderId="3" pivotButton="0" quotePrefix="0" xfId="15"/>
    <xf numFmtId="166" fontId="44" fillId="0" borderId="67" pivotButton="0" quotePrefix="0" xfId="15"/>
    <xf numFmtId="172" fontId="47" fillId="0" borderId="68" pivotButton="0" quotePrefix="0" xfId="15"/>
    <xf numFmtId="0" fontId="44" fillId="0" borderId="6" pivotButton="0" quotePrefix="0" xfId="15"/>
    <xf numFmtId="0" fontId="0" fillId="0" borderId="10" pivotButton="0" quotePrefix="0" xfId="0"/>
    <xf numFmtId="0" fontId="0" fillId="0" borderId="11" pivotButton="0" quotePrefix="0" xfId="0"/>
    <xf numFmtId="166" fontId="14" fillId="0" borderId="44" pivotButton="0" quotePrefix="0" xfId="10"/>
    <xf numFmtId="166" fontId="17" fillId="0" borderId="63" pivotButton="0" quotePrefix="0" xfId="10"/>
    <xf numFmtId="166" fontId="14" fillId="0" borderId="64" pivotButton="0" quotePrefix="0" xfId="10"/>
    <xf numFmtId="166" fontId="14" fillId="0" borderId="65" pivotButton="0" quotePrefix="0" xfId="10"/>
    <xf numFmtId="166" fontId="17" fillId="0" borderId="73" pivotButton="0" quotePrefix="0" xfId="10"/>
    <xf numFmtId="166" fontId="14" fillId="0" borderId="66" pivotButton="0" quotePrefix="0" xfId="10"/>
    <xf numFmtId="166" fontId="17" fillId="0" borderId="74" pivotButton="0" quotePrefix="0" xfId="10"/>
    <xf numFmtId="166" fontId="14" fillId="0" borderId="67" pivotButton="0" quotePrefix="0" xfId="10"/>
    <xf numFmtId="166" fontId="14" fillId="0" borderId="68" pivotButton="0" quotePrefix="0" xfId="10"/>
    <xf numFmtId="0" fontId="17" fillId="0" borderId="2" pivotButton="0" quotePrefix="0" xfId="10"/>
    <xf numFmtId="166" fontId="44" fillId="20" borderId="7" applyProtection="1" pivotButton="0" quotePrefix="0" xfId="16">
      <protection locked="0" hidden="1"/>
    </xf>
    <xf numFmtId="166" fontId="44" fillId="20" borderId="17" applyProtection="1" pivotButton="0" quotePrefix="0" xfId="16">
      <protection locked="0" hidden="1"/>
    </xf>
    <xf numFmtId="167" fontId="44" fillId="7" borderId="7" applyProtection="1" pivotButton="0" quotePrefix="0" xfId="16">
      <protection locked="1" hidden="1"/>
    </xf>
    <xf numFmtId="167" fontId="44" fillId="7" borderId="17" applyProtection="1" pivotButton="0" quotePrefix="0" xfId="16">
      <protection locked="1" hidden="1"/>
    </xf>
    <xf numFmtId="0" fontId="17" fillId="0" borderId="0" pivotButton="0" quotePrefix="0" xfId="0"/>
    <xf numFmtId="0" fontId="48" fillId="22" borderId="49" applyAlignment="1" pivotButton="0" quotePrefix="0" xfId="0">
      <alignment horizontal="center"/>
    </xf>
    <xf numFmtId="0" fontId="48" fillId="22" borderId="15" applyAlignment="1" pivotButton="0" quotePrefix="0" xfId="0">
      <alignment horizontal="center"/>
    </xf>
    <xf numFmtId="0" fontId="49" fillId="0" borderId="0" pivotButton="0" quotePrefix="0" xfId="0"/>
    <xf numFmtId="0" fontId="50" fillId="22" borderId="76" applyAlignment="1" pivotButton="0" quotePrefix="0" xfId="0">
      <alignment horizontal="center"/>
    </xf>
    <xf numFmtId="0" fontId="50" fillId="22" borderId="0" applyAlignment="1" pivotButton="0" quotePrefix="0" xfId="0">
      <alignment horizontal="center"/>
    </xf>
    <xf numFmtId="0" fontId="49" fillId="0" borderId="0" applyAlignment="1" pivotButton="0" quotePrefix="0" xfId="0">
      <alignment wrapText="1"/>
    </xf>
    <xf numFmtId="3" fontId="50" fillId="22" borderId="76" applyAlignment="1" pivotButton="0" quotePrefix="0" xfId="0">
      <alignment horizontal="center"/>
    </xf>
    <xf numFmtId="3" fontId="50" fillId="22" borderId="0" applyAlignment="1" pivotButton="0" quotePrefix="0" xfId="0">
      <alignment horizontal="center"/>
    </xf>
    <xf numFmtId="3" fontId="50" fillId="22" borderId="77" applyAlignment="1" pivotButton="0" quotePrefix="0" xfId="0">
      <alignment horizontal="center"/>
    </xf>
    <xf numFmtId="3" fontId="50" fillId="22" borderId="13" applyAlignment="1" pivotButton="0" quotePrefix="0" xfId="0">
      <alignment horizontal="center"/>
    </xf>
    <xf numFmtId="3" fontId="50" fillId="22" borderId="76" applyAlignment="1" pivotButton="0" quotePrefix="0" xfId="1">
      <alignment horizontal="center"/>
    </xf>
    <xf numFmtId="3" fontId="50" fillId="22" borderId="0" applyAlignment="1" pivotButton="0" quotePrefix="0" xfId="1">
      <alignment horizontal="center"/>
    </xf>
    <xf numFmtId="0" fontId="49" fillId="0" borderId="0" applyAlignment="1" pivotButton="0" quotePrefix="0" xfId="0">
      <alignment horizontal="center"/>
    </xf>
    <xf numFmtId="3" fontId="50" fillId="22" borderId="48" applyAlignment="1" pivotButton="0" quotePrefix="0" xfId="0">
      <alignment horizontal="center"/>
    </xf>
    <xf numFmtId="3" fontId="50" fillId="22" borderId="75" applyAlignment="1" pivotButton="0" quotePrefix="0" xfId="0">
      <alignment horizontal="center"/>
    </xf>
    <xf numFmtId="0" fontId="49" fillId="21" borderId="0" pivotButton="0" quotePrefix="0" xfId="0"/>
    <xf numFmtId="0" fontId="51" fillId="23" borderId="0" applyAlignment="1" pivotButton="0" quotePrefix="0" xfId="0">
      <alignment wrapText="1"/>
    </xf>
    <xf numFmtId="0" fontId="51" fillId="23" borderId="0" pivotButton="0" quotePrefix="0" xfId="0"/>
    <xf numFmtId="0" fontId="51" fillId="23" borderId="0" applyAlignment="1" pivotButton="0" quotePrefix="0" xfId="0">
      <alignment horizontal="center"/>
    </xf>
    <xf numFmtId="0" fontId="52" fillId="23" borderId="0" applyAlignment="1" pivotButton="0" quotePrefix="0" xfId="0">
      <alignment wrapText="1"/>
    </xf>
    <xf numFmtId="0" fontId="52" fillId="23" borderId="0" applyAlignment="1" pivotButton="0" quotePrefix="0" xfId="0">
      <alignment horizontal="right"/>
    </xf>
    <xf numFmtId="0" fontId="52" fillId="23" borderId="0" pivotButton="0" quotePrefix="0" xfId="0"/>
    <xf numFmtId="0" fontId="52" fillId="23" borderId="0" applyAlignment="1" pivotButton="0" quotePrefix="0" xfId="0">
      <alignment horizontal="left" wrapText="1"/>
    </xf>
    <xf numFmtId="165" fontId="52" fillId="23" borderId="0" applyAlignment="1" pivotButton="0" quotePrefix="0" xfId="1">
      <alignment horizontal="right"/>
    </xf>
    <xf numFmtId="165" fontId="52" fillId="23" borderId="0" pivotButton="0" quotePrefix="0" xfId="1"/>
    <xf numFmtId="9" fontId="52" fillId="23" borderId="0" applyAlignment="1" pivotButton="0" quotePrefix="0" xfId="11">
      <alignment horizontal="center"/>
    </xf>
    <xf numFmtId="173" fontId="52" fillId="23" borderId="0" applyAlignment="1" pivotButton="0" quotePrefix="0" xfId="0">
      <alignment horizontal="right"/>
    </xf>
    <xf numFmtId="173" fontId="52" fillId="23" borderId="13" applyAlignment="1" pivotButton="0" quotePrefix="0" xfId="0">
      <alignment horizontal="right"/>
    </xf>
    <xf numFmtId="166" fontId="52" fillId="23" borderId="13" pivotButton="0" quotePrefix="0" xfId="0"/>
    <xf numFmtId="173" fontId="52" fillId="23" borderId="0" pivotButton="0" quotePrefix="0" xfId="0"/>
    <xf numFmtId="0" fontId="53" fillId="23" borderId="0" applyAlignment="1" pivotButton="0" quotePrefix="0" xfId="0">
      <alignment horizontal="left" wrapText="1"/>
    </xf>
    <xf numFmtId="9" fontId="53" fillId="23" borderId="0" applyAlignment="1" pivotButton="0" quotePrefix="0" xfId="11">
      <alignment horizontal="right"/>
    </xf>
    <xf numFmtId="0" fontId="53" fillId="23" borderId="0" applyAlignment="1" pivotButton="0" quotePrefix="0" xfId="0">
      <alignment wrapText="1"/>
    </xf>
    <xf numFmtId="173" fontId="52" fillId="23" borderId="0" applyAlignment="1" pivotButton="0" quotePrefix="0" xfId="18">
      <alignment horizontal="right"/>
    </xf>
    <xf numFmtId="166" fontId="52" fillId="23" borderId="0" pivotButton="0" quotePrefix="0" xfId="18"/>
    <xf numFmtId="0" fontId="52" fillId="23" borderId="13" pivotButton="0" quotePrefix="0" xfId="0"/>
    <xf numFmtId="9" fontId="50" fillId="22" borderId="76" applyAlignment="1" pivotButton="0" quotePrefix="0" xfId="11">
      <alignment horizontal="center"/>
    </xf>
    <xf numFmtId="9" fontId="50" fillId="22" borderId="0" applyAlignment="1" pivotButton="0" quotePrefix="0" xfId="11">
      <alignment horizontal="center"/>
    </xf>
    <xf numFmtId="0" fontId="0" fillId="0" borderId="0" applyAlignment="1" pivotButton="0" quotePrefix="0" xfId="0">
      <alignment wrapText="1"/>
    </xf>
    <xf numFmtId="0" fontId="0" fillId="24" borderId="0" pivotButton="0" quotePrefix="0" xfId="0"/>
    <xf numFmtId="0" fontId="0" fillId="24" borderId="0" applyAlignment="1" pivotButton="0" quotePrefix="0" xfId="0">
      <alignment wrapText="1"/>
    </xf>
    <xf numFmtId="0" fontId="0" fillId="25" borderId="0" pivotButton="0" quotePrefix="0" xfId="0"/>
    <xf numFmtId="0" fontId="0" fillId="25" borderId="0" applyAlignment="1" pivotButton="0" quotePrefix="0" xfId="0">
      <alignment wrapText="1"/>
    </xf>
    <xf numFmtId="0" fontId="0" fillId="16" borderId="0" pivotButton="0" quotePrefix="0" xfId="0"/>
    <xf numFmtId="0" fontId="0" fillId="19" borderId="0" pivotButton="0" quotePrefix="0" xfId="0"/>
    <xf numFmtId="0" fontId="9" fillId="0" borderId="44" applyAlignment="1" pivotButton="0" quotePrefix="0" xfId="0">
      <alignment horizontal="center" vertical="center" wrapText="1"/>
    </xf>
    <xf numFmtId="0" fontId="0" fillId="24" borderId="44" applyAlignment="1" pivotButton="0" quotePrefix="0" xfId="0">
      <alignment wrapText="1"/>
    </xf>
    <xf numFmtId="0" fontId="0" fillId="25" borderId="44" applyAlignment="1" pivotButton="0" quotePrefix="0" xfId="0">
      <alignment wrapText="1"/>
    </xf>
    <xf numFmtId="0" fontId="0" fillId="16" borderId="44" applyAlignment="1" pivotButton="0" quotePrefix="0" xfId="0">
      <alignment wrapText="1"/>
    </xf>
    <xf numFmtId="0" fontId="0" fillId="19" borderId="44" applyAlignment="1" pivotButton="0" quotePrefix="0" xfId="0">
      <alignment wrapText="1"/>
    </xf>
    <xf numFmtId="0" fontId="0" fillId="0" borderId="0" applyAlignment="1" pivotButton="0" quotePrefix="0" xfId="0">
      <alignment vertical="top" wrapText="1"/>
    </xf>
    <xf numFmtId="0" fontId="9" fillId="0" borderId="44" applyAlignment="1" pivotButton="0" quotePrefix="0" xfId="0">
      <alignment horizontal="center" vertical="top" wrapText="1"/>
    </xf>
    <xf numFmtId="0" fontId="0" fillId="24" borderId="44" applyAlignment="1" pivotButton="0" quotePrefix="0" xfId="0">
      <alignment vertical="top" wrapText="1"/>
    </xf>
    <xf numFmtId="0" fontId="0" fillId="25" borderId="44" applyAlignment="1" pivotButton="0" quotePrefix="0" xfId="0">
      <alignment vertical="top" wrapText="1"/>
    </xf>
    <xf numFmtId="0" fontId="0" fillId="16" borderId="44" applyAlignment="1" pivotButton="0" quotePrefix="0" xfId="0">
      <alignment vertical="top" wrapText="1"/>
    </xf>
    <xf numFmtId="0" fontId="0" fillId="19" borderId="44" applyAlignment="1" pivotButton="0" quotePrefix="0" xfId="0">
      <alignment vertical="top" wrapText="1"/>
    </xf>
    <xf numFmtId="0" fontId="54" fillId="0" borderId="0" applyAlignment="1" pivotButton="0" quotePrefix="0" xfId="0">
      <alignment vertical="top" wrapText="1"/>
    </xf>
    <xf numFmtId="0" fontId="54" fillId="0" borderId="0" pivotButton="0" quotePrefix="0" xfId="0"/>
    <xf numFmtId="0" fontId="54" fillId="24" borderId="0" pivotButton="0" quotePrefix="0" xfId="0"/>
    <xf numFmtId="0" fontId="54" fillId="25" borderId="0" pivotButton="0" quotePrefix="0" xfId="0"/>
    <xf numFmtId="0" fontId="54" fillId="16" borderId="0" pivotButton="0" quotePrefix="0" xfId="0"/>
    <xf numFmtId="0" fontId="54" fillId="19" borderId="0" pivotButton="0" quotePrefix="0" xfId="0"/>
    <xf numFmtId="0" fontId="9" fillId="0" borderId="0" applyAlignment="1" pivotButton="0" quotePrefix="0" xfId="0">
      <alignment vertical="top" wrapText="1"/>
    </xf>
    <xf numFmtId="43" fontId="14" fillId="0" borderId="0" pivotButton="0" quotePrefix="0" xfId="0"/>
    <xf numFmtId="4" fontId="14" fillId="0" borderId="0" pivotButton="0" quotePrefix="0" xfId="0"/>
    <xf numFmtId="0" fontId="42" fillId="0" borderId="0" applyAlignment="1" pivotButton="0" quotePrefix="0" xfId="0">
      <alignment vertical="top" wrapText="1"/>
    </xf>
    <xf numFmtId="0" fontId="56" fillId="0" borderId="0" applyAlignment="1" pivotButton="0" quotePrefix="0" xfId="0">
      <alignment vertical="top" wrapText="1"/>
    </xf>
    <xf numFmtId="0" fontId="56" fillId="0" borderId="78" applyAlignment="1" pivotButton="0" quotePrefix="0" xfId="0">
      <alignment vertical="top" wrapText="1"/>
    </xf>
    <xf numFmtId="0" fontId="9" fillId="0" borderId="78" applyAlignment="1" pivotButton="0" quotePrefix="0" xfId="0">
      <alignment vertical="top" wrapText="1"/>
    </xf>
    <xf numFmtId="0" fontId="0" fillId="0" borderId="78" applyAlignment="1" pivotButton="0" quotePrefix="0" xfId="0">
      <alignment vertical="top" wrapText="1"/>
    </xf>
    <xf numFmtId="166" fontId="0" fillId="24" borderId="44" applyAlignment="1" pivotButton="0" quotePrefix="0" xfId="0">
      <alignment wrapText="1"/>
    </xf>
    <xf numFmtId="0" fontId="0" fillId="25" borderId="46" applyAlignment="1" pivotButton="0" quotePrefix="0" xfId="0">
      <alignment vertical="top" wrapText="1"/>
    </xf>
    <xf numFmtId="0" fontId="0" fillId="16" borderId="48" applyAlignment="1" pivotButton="0" quotePrefix="0" xfId="0">
      <alignment vertical="top" wrapText="1"/>
    </xf>
    <xf numFmtId="0" fontId="54" fillId="25" borderId="9" pivotButton="0" quotePrefix="0" xfId="0"/>
    <xf numFmtId="0" fontId="0" fillId="25" borderId="64" applyAlignment="1" pivotButton="0" quotePrefix="0" xfId="0">
      <alignment wrapText="1"/>
    </xf>
    <xf numFmtId="0" fontId="0" fillId="25" borderId="64" applyAlignment="1" pivotButton="0" quotePrefix="0" xfId="0">
      <alignment vertical="top" wrapText="1"/>
    </xf>
    <xf numFmtId="0" fontId="0" fillId="25" borderId="65" applyAlignment="1" pivotButton="0" quotePrefix="0" xfId="0">
      <alignment vertical="top" wrapText="1"/>
    </xf>
    <xf numFmtId="0" fontId="54" fillId="25" borderId="5" pivotButton="0" quotePrefix="0" xfId="0"/>
    <xf numFmtId="0" fontId="0" fillId="25" borderId="66" applyAlignment="1" pivotButton="0" quotePrefix="0" xfId="0">
      <alignment vertical="top" wrapText="1"/>
    </xf>
    <xf numFmtId="0" fontId="54" fillId="25" borderId="12" pivotButton="0" quotePrefix="0" xfId="0"/>
    <xf numFmtId="0" fontId="0" fillId="25" borderId="67" applyAlignment="1" pivotButton="0" quotePrefix="0" xfId="0">
      <alignment wrapText="1"/>
    </xf>
    <xf numFmtId="0" fontId="0" fillId="25" borderId="67" applyAlignment="1" pivotButton="0" quotePrefix="0" xfId="0">
      <alignment vertical="top" wrapText="1"/>
    </xf>
    <xf numFmtId="0" fontId="0" fillId="25" borderId="68" applyAlignment="1" pivotButton="0" quotePrefix="0" xfId="0">
      <alignment vertical="top" wrapText="1"/>
    </xf>
    <xf numFmtId="0" fontId="9" fillId="0" borderId="46" applyAlignment="1" pivotButton="0" quotePrefix="0" xfId="0">
      <alignment horizontal="center" vertical="top" wrapText="1"/>
    </xf>
    <xf numFmtId="0" fontId="0" fillId="24" borderId="46" applyAlignment="1" pivotButton="0" quotePrefix="0" xfId="0">
      <alignment vertical="top" wrapText="1"/>
    </xf>
    <xf numFmtId="0" fontId="54" fillId="0" borderId="9" pivotButton="0" quotePrefix="0" xfId="0"/>
    <xf numFmtId="0" fontId="9" fillId="0" borderId="64" applyAlignment="1" pivotButton="0" quotePrefix="0" xfId="0">
      <alignment horizontal="center" vertical="top" wrapText="1"/>
    </xf>
    <xf numFmtId="0" fontId="9" fillId="0" borderId="65" applyAlignment="1" pivotButton="0" quotePrefix="0" xfId="0">
      <alignment horizontal="center" vertical="top" wrapText="1"/>
    </xf>
    <xf numFmtId="0" fontId="54" fillId="24" borderId="5" pivotButton="0" quotePrefix="0" xfId="0"/>
    <xf numFmtId="0" fontId="0" fillId="24" borderId="66" applyAlignment="1" pivotButton="0" quotePrefix="0" xfId="0">
      <alignment vertical="top" wrapText="1"/>
    </xf>
    <xf numFmtId="0" fontId="54" fillId="24" borderId="12" pivotButton="0" quotePrefix="0" xfId="0"/>
    <xf numFmtId="0" fontId="0" fillId="24" borderId="67" applyAlignment="1" pivotButton="0" quotePrefix="0" xfId="0">
      <alignment wrapText="1"/>
    </xf>
    <xf numFmtId="0" fontId="0" fillId="24" borderId="67" applyAlignment="1" pivotButton="0" quotePrefix="0" xfId="0">
      <alignment vertical="top" wrapText="1"/>
    </xf>
    <xf numFmtId="0" fontId="0" fillId="24" borderId="68" applyAlignment="1" pivotButton="0" quotePrefix="0" xfId="0">
      <alignment vertical="top" wrapText="1"/>
    </xf>
    <xf numFmtId="0" fontId="9" fillId="0" borderId="64" applyAlignment="1" pivotButton="0" quotePrefix="0" xfId="0">
      <alignment horizontal="center" wrapText="1"/>
    </xf>
    <xf numFmtId="0" fontId="0" fillId="19" borderId="46" applyAlignment="1" pivotButton="0" quotePrefix="0" xfId="0">
      <alignment vertical="top" wrapText="1"/>
    </xf>
    <xf numFmtId="0" fontId="0" fillId="16" borderId="49" applyAlignment="1" pivotButton="0" quotePrefix="0" xfId="0">
      <alignment wrapText="1"/>
    </xf>
    <xf numFmtId="0" fontId="0" fillId="16" borderId="49" applyAlignment="1" pivotButton="0" quotePrefix="0" xfId="0">
      <alignment vertical="top" wrapText="1"/>
    </xf>
    <xf numFmtId="0" fontId="0" fillId="0" borderId="9" pivotButton="0" quotePrefix="0" xfId="0"/>
    <xf numFmtId="0" fontId="54" fillId="19" borderId="5" pivotButton="0" quotePrefix="0" xfId="0"/>
    <xf numFmtId="0" fontId="0" fillId="19" borderId="66" applyAlignment="1" pivotButton="0" quotePrefix="0" xfId="0">
      <alignment vertical="top" wrapText="1"/>
    </xf>
    <xf numFmtId="0" fontId="54" fillId="19" borderId="12" pivotButton="0" quotePrefix="0" xfId="0"/>
    <xf numFmtId="0" fontId="0" fillId="19" borderId="67" applyAlignment="1" pivotButton="0" quotePrefix="0" xfId="0">
      <alignment wrapText="1"/>
    </xf>
    <xf numFmtId="0" fontId="0" fillId="19" borderId="67" applyAlignment="1" pivotButton="0" quotePrefix="0" xfId="0">
      <alignment vertical="top" wrapText="1"/>
    </xf>
    <xf numFmtId="0" fontId="0" fillId="19" borderId="68" applyAlignment="1" pivotButton="0" quotePrefix="0" xfId="0">
      <alignment vertical="top" wrapText="1"/>
    </xf>
    <xf numFmtId="173" fontId="0" fillId="24" borderId="44" applyAlignment="1" pivotButton="0" quotePrefix="0" xfId="0">
      <alignment wrapText="1"/>
    </xf>
    <xf numFmtId="0" fontId="0" fillId="25" borderId="45" applyAlignment="1" pivotButton="0" quotePrefix="0" xfId="0">
      <alignment wrapText="1"/>
    </xf>
    <xf numFmtId="0" fontId="0" fillId="25" borderId="79" applyAlignment="1" pivotButton="0" quotePrefix="0" xfId="0">
      <alignment wrapText="1"/>
    </xf>
    <xf numFmtId="173" fontId="0" fillId="25" borderId="64" applyAlignment="1" pivotButton="0" quotePrefix="0" xfId="0">
      <alignment wrapText="1"/>
    </xf>
    <xf numFmtId="173" fontId="0" fillId="25" borderId="46" applyAlignment="1" pivotButton="0" quotePrefix="0" xfId="0">
      <alignment wrapText="1"/>
    </xf>
    <xf numFmtId="173" fontId="0" fillId="25" borderId="44" applyAlignment="1" pivotButton="0" quotePrefix="0" xfId="0">
      <alignment wrapText="1"/>
    </xf>
    <xf numFmtId="173" fontId="0" fillId="25" borderId="0" pivotButton="0" quotePrefix="0" xfId="0"/>
    <xf numFmtId="173" fontId="0" fillId="25" borderId="67" applyAlignment="1" pivotButton="0" quotePrefix="0" xfId="0">
      <alignment wrapText="1"/>
    </xf>
    <xf numFmtId="173" fontId="0" fillId="24" borderId="67" applyAlignment="1" pivotButton="0" quotePrefix="0" xfId="0">
      <alignment wrapText="1"/>
    </xf>
    <xf numFmtId="0" fontId="0" fillId="16" borderId="48" applyAlignment="1" pivotButton="0" quotePrefix="0" xfId="0">
      <alignment wrapText="1"/>
    </xf>
    <xf numFmtId="166" fontId="0" fillId="16" borderId="48" applyAlignment="1" pivotButton="0" quotePrefix="0" xfId="0">
      <alignment wrapText="1"/>
    </xf>
    <xf numFmtId="166" fontId="0" fillId="16" borderId="44" applyAlignment="1" pivotButton="0" quotePrefix="0" xfId="0">
      <alignment wrapText="1"/>
    </xf>
    <xf numFmtId="166" fontId="0" fillId="16" borderId="49" applyAlignment="1" pivotButton="0" quotePrefix="0" xfId="0">
      <alignment wrapText="1"/>
    </xf>
    <xf numFmtId="166" fontId="0" fillId="19" borderId="44" applyAlignment="1" pivotButton="0" quotePrefix="0" xfId="0">
      <alignment wrapText="1"/>
    </xf>
    <xf numFmtId="166" fontId="0" fillId="19" borderId="67" applyAlignment="1" pivotButton="0" quotePrefix="0" xfId="0">
      <alignment wrapText="1"/>
    </xf>
    <xf numFmtId="173" fontId="0" fillId="0" borderId="0" applyAlignment="1" pivotButton="0" quotePrefix="0" xfId="0">
      <alignment vertical="top" wrapText="1"/>
    </xf>
    <xf numFmtId="164" fontId="44" fillId="0" borderId="4" applyAlignment="1" applyProtection="1" pivotButton="0" quotePrefix="0" xfId="16">
      <alignment horizontal="center"/>
      <protection locked="0" hidden="0"/>
    </xf>
    <xf numFmtId="0" fontId="55" fillId="0" borderId="0" applyAlignment="1" pivotButton="0" quotePrefix="0" xfId="19">
      <alignment vertical="top" wrapText="1"/>
    </xf>
    <xf numFmtId="0" fontId="57" fillId="0" borderId="0" applyAlignment="1" pivotButton="0" quotePrefix="0" xfId="0">
      <alignment horizontal="left" vertical="center"/>
    </xf>
    <xf numFmtId="166" fontId="9" fillId="16" borderId="49" applyAlignment="1" pivotButton="0" quotePrefix="0" xfId="0">
      <alignment horizontal="center" wrapText="1"/>
    </xf>
    <xf numFmtId="166" fontId="9" fillId="16" borderId="76" applyAlignment="1" pivotButton="0" quotePrefix="0" xfId="0">
      <alignment horizontal="center" wrapText="1"/>
    </xf>
    <xf numFmtId="166" fontId="9" fillId="16" borderId="77" applyAlignment="1" pivotButton="0" quotePrefix="0" xfId="0">
      <alignment horizontal="center" wrapText="1"/>
    </xf>
    <xf numFmtId="173" fontId="0" fillId="25" borderId="79" applyAlignment="1" pivotButton="0" quotePrefix="0" xfId="0">
      <alignment horizontal="center" wrapText="1"/>
    </xf>
    <xf numFmtId="173" fontId="0" fillId="25" borderId="76" applyAlignment="1" pivotButton="0" quotePrefix="0" xfId="0">
      <alignment horizontal="center" wrapText="1"/>
    </xf>
    <xf numFmtId="173" fontId="0" fillId="25" borderId="77" applyAlignment="1" pivotButton="0" quotePrefix="0" xfId="0">
      <alignment horizontal="center" wrapText="1"/>
    </xf>
    <xf numFmtId="173" fontId="0" fillId="24" borderId="49" applyAlignment="1" pivotButton="0" quotePrefix="0" xfId="0">
      <alignment horizontal="center" wrapText="1"/>
    </xf>
    <xf numFmtId="173" fontId="0" fillId="24" borderId="76" applyAlignment="1" pivotButton="0" quotePrefix="0" xfId="0">
      <alignment horizontal="center" wrapText="1"/>
    </xf>
    <xf numFmtId="173" fontId="0" fillId="24" borderId="77" applyAlignment="1" pivotButton="0" quotePrefix="0" xfId="0">
      <alignment horizontal="center" wrapText="1"/>
    </xf>
    <xf numFmtId="166" fontId="9" fillId="19" borderId="49" applyAlignment="1" pivotButton="0" quotePrefix="0" xfId="0">
      <alignment horizontal="center" wrapText="1"/>
    </xf>
    <xf numFmtId="166" fontId="9" fillId="19" borderId="76" applyAlignment="1" pivotButton="0" quotePrefix="0" xfId="0">
      <alignment horizontal="center" wrapText="1"/>
    </xf>
    <xf numFmtId="166" fontId="9" fillId="19" borderId="77" applyAlignment="1" pivotButton="0" quotePrefix="0" xfId="0">
      <alignment horizontal="center" wrapText="1"/>
    </xf>
    <xf numFmtId="0" fontId="35" fillId="0" borderId="0" applyAlignment="1" pivotButton="0" quotePrefix="0" xfId="0">
      <alignment horizontal="center"/>
    </xf>
    <xf numFmtId="43" fontId="18" fillId="0" borderId="0" applyAlignment="1" pivotButton="0" quotePrefix="0" xfId="1">
      <alignment horizontal="left"/>
    </xf>
    <xf numFmtId="0" fontId="23" fillId="0" borderId="44" applyAlignment="1" pivotButton="0" quotePrefix="0" xfId="0">
      <alignment vertical="center"/>
    </xf>
    <xf numFmtId="0" fontId="58" fillId="0" borderId="0" pivotButton="0" quotePrefix="0" xfId="0"/>
    <xf numFmtId="0" fontId="59" fillId="0" borderId="0" pivotButton="0" quotePrefix="0" xfId="0"/>
    <xf numFmtId="0" fontId="60" fillId="26" borderId="83" pivotButton="0" quotePrefix="0" xfId="0"/>
    <xf numFmtId="0" fontId="0" fillId="0" borderId="83" applyAlignment="1" pivotButton="0" quotePrefix="0" xfId="0">
      <alignment vertical="top" wrapText="1"/>
    </xf>
    <xf numFmtId="0" fontId="60" fillId="26" borderId="83" applyAlignment="1" pivotButton="0" quotePrefix="0" xfId="0">
      <alignment horizontal="center" vertical="center" wrapText="1"/>
    </xf>
    <xf numFmtId="3" fontId="0" fillId="0" borderId="83" applyAlignment="1" pivotButton="0" quotePrefix="0" xfId="0">
      <alignment vertical="center" wrapText="1"/>
    </xf>
    <xf numFmtId="4" fontId="0" fillId="0" borderId="83" applyAlignment="1" pivotButton="0" quotePrefix="0" xfId="0">
      <alignment vertical="center" wrapText="1"/>
    </xf>
    <xf numFmtId="174" fontId="0" fillId="0" borderId="83" applyAlignment="1" pivotButton="0" quotePrefix="0" xfId="0">
      <alignment vertical="center" wrapText="1"/>
    </xf>
    <xf numFmtId="0" fontId="0" fillId="0" borderId="83" applyAlignment="1" pivotButton="0" quotePrefix="0" xfId="0">
      <alignment wrapText="1"/>
    </xf>
    <xf numFmtId="3" fontId="0" fillId="0" borderId="83" pivotButton="0" quotePrefix="0" xfId="0"/>
    <xf numFmtId="174" fontId="0" fillId="0" borderId="83" pivotButton="0" quotePrefix="0" xfId="0"/>
    <xf numFmtId="0" fontId="0" fillId="0" borderId="83" applyAlignment="1" pivotButton="0" quotePrefix="0" xfId="0">
      <alignment vertical="center" wrapText="1"/>
    </xf>
    <xf numFmtId="0" fontId="61" fillId="0" borderId="0" pivotButton="0" quotePrefix="0" xfId="0"/>
    <xf numFmtId="43" fontId="14" fillId="0" borderId="0" pivotButton="0" quotePrefix="0" xfId="1"/>
    <xf numFmtId="165" fontId="20" fillId="0" borderId="0" applyProtection="1" pivotButton="0" quotePrefix="0" xfId="1">
      <protection locked="0" hidden="0"/>
    </xf>
    <xf numFmtId="165" fontId="20" fillId="0" borderId="15" applyProtection="1" pivotButton="0" quotePrefix="0" xfId="1">
      <protection locked="0" hidden="0"/>
    </xf>
    <xf numFmtId="165" fontId="39" fillId="0" borderId="0" applyAlignment="1" pivotButton="0" quotePrefix="0" xfId="0">
      <alignment horizontal="center"/>
    </xf>
    <xf numFmtId="166" fontId="14" fillId="0" borderId="0" applyAlignment="1" pivotButton="0" quotePrefix="0" xfId="0">
      <alignment horizontal="center"/>
    </xf>
    <xf numFmtId="167" fontId="20" fillId="0" borderId="0" applyProtection="1" pivotButton="0" quotePrefix="0" xfId="1">
      <protection locked="0" hidden="0"/>
    </xf>
    <xf numFmtId="165" fontId="14" fillId="0" borderId="0" pivotButton="0" quotePrefix="0" xfId="0"/>
    <xf numFmtId="164" fontId="14" fillId="0" borderId="0" pivotButton="0" quotePrefix="0" xfId="0"/>
    <xf numFmtId="165" fontId="19" fillId="0" borderId="15" applyProtection="1" pivotButton="0" quotePrefix="0" xfId="1">
      <protection locked="0" hidden="0"/>
    </xf>
    <xf numFmtId="43" fontId="14" fillId="0" borderId="0" applyProtection="1" pivotButton="0" quotePrefix="0" xfId="1">
      <protection locked="0" hidden="0"/>
    </xf>
    <xf numFmtId="164" fontId="20" fillId="0" borderId="0" applyProtection="1" pivotButton="0" quotePrefix="0" xfId="1">
      <protection locked="0" hidden="0"/>
    </xf>
    <xf numFmtId="43" fontId="14" fillId="0" borderId="0" pivotButton="0" quotePrefix="0" xfId="0"/>
    <xf numFmtId="166" fontId="0" fillId="24" borderId="44" applyAlignment="1" pivotButton="0" quotePrefix="0" xfId="0">
      <alignment wrapText="1"/>
    </xf>
    <xf numFmtId="173" fontId="0" fillId="24" borderId="67" applyAlignment="1" pivotButton="0" quotePrefix="0" xfId="0">
      <alignment horizontal="center" wrapText="1"/>
    </xf>
    <xf numFmtId="173" fontId="0" fillId="24" borderId="44" applyAlignment="1" pivotButton="0" quotePrefix="0" xfId="0">
      <alignment wrapText="1"/>
    </xf>
    <xf numFmtId="0" fontId="0" fillId="0" borderId="76" pivotButton="0" quotePrefix="0" xfId="0"/>
    <xf numFmtId="173" fontId="0" fillId="24" borderId="67" applyAlignment="1" pivotButton="0" quotePrefix="0" xfId="0">
      <alignment wrapText="1"/>
    </xf>
    <xf numFmtId="0" fontId="0" fillId="0" borderId="77" pivotButton="0" quotePrefix="0" xfId="0"/>
    <xf numFmtId="173" fontId="0" fillId="25" borderId="64" applyAlignment="1" pivotButton="0" quotePrefix="0" xfId="0">
      <alignment wrapText="1"/>
    </xf>
    <xf numFmtId="173" fontId="0" fillId="25" borderId="81" applyAlignment="1" pivotButton="0" quotePrefix="0" xfId="0">
      <alignment horizontal="center" wrapText="1"/>
    </xf>
    <xf numFmtId="173" fontId="0" fillId="25" borderId="46" applyAlignment="1" pivotButton="0" quotePrefix="0" xfId="0">
      <alignment wrapText="1"/>
    </xf>
    <xf numFmtId="173" fontId="0" fillId="25" borderId="44" applyAlignment="1" pivotButton="0" quotePrefix="0" xfId="0">
      <alignment wrapText="1"/>
    </xf>
    <xf numFmtId="173" fontId="0" fillId="25" borderId="0" pivotButton="0" quotePrefix="0" xfId="0"/>
    <xf numFmtId="173" fontId="0" fillId="25" borderId="67" applyAlignment="1" pivotButton="0" quotePrefix="0" xfId="0">
      <alignment wrapText="1"/>
    </xf>
    <xf numFmtId="166" fontId="0" fillId="16" borderId="48" applyAlignment="1" pivotButton="0" quotePrefix="0" xfId="0">
      <alignment wrapText="1"/>
    </xf>
    <xf numFmtId="166" fontId="9" fillId="16" borderId="67" applyAlignment="1" pivotButton="0" quotePrefix="0" xfId="0">
      <alignment horizontal="center" wrapText="1"/>
    </xf>
    <xf numFmtId="166" fontId="0" fillId="16" borderId="44" applyAlignment="1" pivotButton="0" quotePrefix="0" xfId="0">
      <alignment wrapText="1"/>
    </xf>
    <xf numFmtId="166" fontId="0" fillId="16" borderId="49" applyAlignment="1" pivotButton="0" quotePrefix="0" xfId="0">
      <alignment wrapText="1"/>
    </xf>
    <xf numFmtId="166" fontId="0" fillId="19" borderId="44" applyAlignment="1" pivotButton="0" quotePrefix="0" xfId="0">
      <alignment wrapText="1"/>
    </xf>
    <xf numFmtId="166" fontId="9" fillId="19" borderId="67" applyAlignment="1" pivotButton="0" quotePrefix="0" xfId="0">
      <alignment horizontal="center" wrapText="1"/>
    </xf>
    <xf numFmtId="166" fontId="0" fillId="19" borderId="67" applyAlignment="1" pivotButton="0" quotePrefix="0" xfId="0">
      <alignment wrapText="1"/>
    </xf>
    <xf numFmtId="173" fontId="0" fillId="0" borderId="0" applyAlignment="1" pivotButton="0" quotePrefix="0" xfId="0">
      <alignment vertical="top" wrapText="1"/>
    </xf>
    <xf numFmtId="165" fontId="52" fillId="23" borderId="0" applyAlignment="1" pivotButton="0" quotePrefix="0" xfId="1">
      <alignment horizontal="right"/>
    </xf>
    <xf numFmtId="165" fontId="52" fillId="23" borderId="0" pivotButton="0" quotePrefix="0" xfId="1"/>
    <xf numFmtId="173" fontId="52" fillId="23" borderId="0" applyAlignment="1" pivotButton="0" quotePrefix="0" xfId="18">
      <alignment horizontal="right"/>
    </xf>
    <xf numFmtId="166" fontId="52" fillId="23" borderId="0" pivotButton="0" quotePrefix="0" xfId="18"/>
    <xf numFmtId="173" fontId="52" fillId="23" borderId="13" applyAlignment="1" pivotButton="0" quotePrefix="0" xfId="0">
      <alignment horizontal="right"/>
    </xf>
    <xf numFmtId="173" fontId="52" fillId="23" borderId="0" applyAlignment="1" pivotButton="0" quotePrefix="0" xfId="0">
      <alignment horizontal="right"/>
    </xf>
    <xf numFmtId="166" fontId="52" fillId="23" borderId="13" pivotButton="0" quotePrefix="0" xfId="0"/>
    <xf numFmtId="173" fontId="52" fillId="23" borderId="0" pivotButton="0" quotePrefix="0" xfId="0"/>
    <xf numFmtId="164" fontId="44" fillId="0" borderId="0" pivotButton="0" quotePrefix="0" xfId="15"/>
    <xf numFmtId="164" fontId="44" fillId="0" borderId="7" applyAlignment="1" applyProtection="1" pivotButton="0" quotePrefix="0" xfId="16">
      <alignment horizontal="center"/>
      <protection locked="0" hidden="1"/>
    </xf>
    <xf numFmtId="164" fontId="44" fillId="0" borderId="16" applyAlignment="1" applyProtection="1" pivotButton="0" quotePrefix="0" xfId="16">
      <alignment horizontal="center"/>
      <protection locked="0" hidden="1"/>
    </xf>
    <xf numFmtId="164" fontId="44" fillId="0" borderId="2" applyAlignment="1" applyProtection="1" pivotButton="0" quotePrefix="0" xfId="16">
      <alignment horizontal="center"/>
      <protection locked="0" hidden="1"/>
    </xf>
    <xf numFmtId="164" fontId="44" fillId="0" borderId="17" applyAlignment="1" applyProtection="1" pivotButton="0" quotePrefix="0" xfId="16">
      <alignment horizontal="center"/>
      <protection locked="0" hidden="1"/>
    </xf>
    <xf numFmtId="168" fontId="45" fillId="3" borderId="5" applyAlignment="1" applyProtection="1" pivotButton="0" quotePrefix="0" xfId="15">
      <alignment horizontal="left"/>
      <protection locked="0" hidden="0"/>
    </xf>
    <xf numFmtId="168" fontId="45" fillId="0" borderId="5" applyAlignment="1" applyProtection="1" pivotButton="0" quotePrefix="0" xfId="15">
      <alignment horizontal="right"/>
      <protection locked="0" hidden="0"/>
    </xf>
    <xf numFmtId="168" fontId="44" fillId="0" borderId="0" applyAlignment="1" applyProtection="1" pivotButton="0" quotePrefix="0" xfId="15">
      <alignment horizontal="right"/>
      <protection locked="0" hidden="0"/>
    </xf>
    <xf numFmtId="168" fontId="44" fillId="0" borderId="8" applyProtection="1" pivotButton="0" quotePrefix="0" xfId="15">
      <protection locked="0" hidden="0"/>
    </xf>
    <xf numFmtId="168" fontId="44" fillId="0" borderId="4" applyAlignment="1" applyProtection="1" pivotButton="0" quotePrefix="0" xfId="15">
      <alignment horizontal="right"/>
      <protection locked="0" hidden="0"/>
    </xf>
    <xf numFmtId="168" fontId="45" fillId="0" borderId="0" applyAlignment="1" applyProtection="1" pivotButton="0" quotePrefix="0" xfId="15">
      <alignment horizontal="right"/>
      <protection locked="0" hidden="0"/>
    </xf>
    <xf numFmtId="168" fontId="44" fillId="0" borderId="0" applyProtection="1" pivotButton="0" quotePrefix="0" xfId="15">
      <protection locked="0" hidden="0"/>
    </xf>
    <xf numFmtId="164" fontId="14" fillId="5" borderId="9" applyProtection="1" pivotButton="0" quotePrefix="0" xfId="16">
      <protection locked="0" hidden="0"/>
    </xf>
    <xf numFmtId="165" fontId="14" fillId="4" borderId="9" applyAlignment="1" applyProtection="1" pivotButton="0" quotePrefix="0" xfId="1">
      <alignment horizontal="right"/>
      <protection locked="0" hidden="0"/>
    </xf>
    <xf numFmtId="165" fontId="14" fillId="4" borderId="10" applyAlignment="1" applyProtection="1" pivotButton="0" quotePrefix="0" xfId="1">
      <alignment horizontal="right"/>
      <protection locked="0" hidden="0"/>
    </xf>
    <xf numFmtId="167" fontId="44" fillId="5" borderId="11" applyAlignment="1" applyProtection="1" pivotButton="0" quotePrefix="0" xfId="16">
      <alignment horizontal="center"/>
      <protection locked="0" hidden="0"/>
    </xf>
    <xf numFmtId="167" fontId="44" fillId="0" borderId="11" applyAlignment="1" applyProtection="1" pivotButton="0" quotePrefix="0" xfId="16">
      <alignment horizontal="center"/>
      <protection locked="0" hidden="0"/>
    </xf>
    <xf numFmtId="167" fontId="44" fillId="5" borderId="9" applyAlignment="1" applyProtection="1" pivotButton="0" quotePrefix="0" xfId="16">
      <alignment horizontal="center"/>
      <protection locked="0" hidden="0"/>
    </xf>
    <xf numFmtId="167" fontId="44" fillId="5" borderId="10" applyAlignment="1" applyProtection="1" pivotButton="0" quotePrefix="0" xfId="16">
      <alignment horizontal="center"/>
      <protection locked="0" hidden="0"/>
    </xf>
    <xf numFmtId="164" fontId="14" fillId="5" borderId="5" applyProtection="1" pivotButton="0" quotePrefix="0" xfId="16">
      <protection locked="0" hidden="0"/>
    </xf>
    <xf numFmtId="167" fontId="44" fillId="4" borderId="5" applyAlignment="1" applyProtection="1" pivotButton="0" quotePrefix="0" xfId="16">
      <alignment horizontal="center"/>
      <protection locked="0" hidden="0"/>
    </xf>
    <xf numFmtId="167" fontId="44" fillId="4" borderId="0" applyAlignment="1" applyProtection="1" pivotButton="0" quotePrefix="0" xfId="16">
      <alignment horizontal="center"/>
      <protection locked="0" hidden="0"/>
    </xf>
    <xf numFmtId="167" fontId="44" fillId="4" borderId="8" applyAlignment="1" applyProtection="1" pivotButton="0" quotePrefix="0" xfId="16">
      <alignment horizontal="center"/>
      <protection locked="0" hidden="0"/>
    </xf>
    <xf numFmtId="167" fontId="44" fillId="0" borderId="8" applyAlignment="1" applyProtection="1" pivotButton="0" quotePrefix="0" xfId="16">
      <alignment horizontal="center"/>
      <protection locked="0" hidden="0"/>
    </xf>
    <xf numFmtId="167" fontId="44" fillId="5" borderId="5" applyAlignment="1" applyProtection="1" pivotButton="0" quotePrefix="0" xfId="16">
      <alignment horizontal="center"/>
      <protection locked="0" hidden="0"/>
    </xf>
    <xf numFmtId="167" fontId="44" fillId="5" borderId="0" applyAlignment="1" applyProtection="1" pivotButton="0" quotePrefix="0" xfId="16">
      <alignment horizontal="center"/>
      <protection locked="0" hidden="0"/>
    </xf>
    <xf numFmtId="167" fontId="44" fillId="5" borderId="8" applyAlignment="1" applyProtection="1" pivotButton="0" quotePrefix="0" xfId="16">
      <alignment horizontal="center"/>
      <protection locked="0" hidden="0"/>
    </xf>
    <xf numFmtId="164" fontId="14" fillId="5" borderId="12" applyProtection="1" pivotButton="0" quotePrefix="0" xfId="16">
      <protection locked="0" hidden="0"/>
    </xf>
    <xf numFmtId="167" fontId="44" fillId="5" borderId="12" applyAlignment="1" applyProtection="1" pivotButton="0" quotePrefix="0" xfId="16">
      <alignment horizontal="center"/>
      <protection locked="0" hidden="0"/>
    </xf>
    <xf numFmtId="167" fontId="44" fillId="4" borderId="13" applyAlignment="1" applyProtection="1" pivotButton="0" quotePrefix="0" xfId="16">
      <alignment horizontal="center"/>
      <protection locked="0" hidden="0"/>
    </xf>
    <xf numFmtId="167" fontId="44" fillId="5" borderId="14" applyAlignment="1" applyProtection="1" pivotButton="0" quotePrefix="0" xfId="16">
      <alignment horizontal="center"/>
      <protection locked="0" hidden="0"/>
    </xf>
    <xf numFmtId="167" fontId="44" fillId="0" borderId="14" applyAlignment="1" applyProtection="1" pivotButton="0" quotePrefix="0" xfId="16">
      <alignment horizontal="center"/>
      <protection locked="0" hidden="0"/>
    </xf>
    <xf numFmtId="167" fontId="44" fillId="5" borderId="13" applyAlignment="1" applyProtection="1" pivotButton="0" quotePrefix="0" xfId="16">
      <alignment horizontal="center"/>
      <protection locked="0" hidden="0"/>
    </xf>
    <xf numFmtId="164" fontId="44" fillId="0" borderId="2" applyProtection="1" pivotButton="0" quotePrefix="0" xfId="16">
      <protection locked="0" hidden="1"/>
    </xf>
    <xf numFmtId="167" fontId="14" fillId="0" borderId="13" applyAlignment="1" applyProtection="1" pivotButton="0" quotePrefix="0" xfId="16">
      <alignment horizontal="center"/>
      <protection locked="0" hidden="1"/>
    </xf>
    <xf numFmtId="167" fontId="14" fillId="0" borderId="2" applyAlignment="1" applyProtection="1" pivotButton="0" quotePrefix="0" xfId="16">
      <alignment horizontal="center"/>
      <protection locked="0" hidden="1"/>
    </xf>
    <xf numFmtId="167" fontId="44" fillId="5" borderId="7" applyAlignment="1" applyProtection="1" pivotButton="0" quotePrefix="0" xfId="16">
      <alignment horizontal="center"/>
      <protection locked="0" hidden="0"/>
    </xf>
    <xf numFmtId="167" fontId="44" fillId="5" borderId="16" applyAlignment="1" applyProtection="1" pivotButton="0" quotePrefix="0" xfId="16">
      <alignment horizontal="center"/>
      <protection locked="0" hidden="0"/>
    </xf>
    <xf numFmtId="167" fontId="44" fillId="5" borderId="17" applyAlignment="1" applyProtection="1" pivotButton="0" quotePrefix="0" xfId="16">
      <alignment horizontal="center"/>
      <protection locked="0" hidden="0"/>
    </xf>
    <xf numFmtId="167" fontId="17" fillId="0" borderId="0" applyProtection="1" pivotButton="0" quotePrefix="0" xfId="16">
      <protection locked="0" hidden="1"/>
    </xf>
    <xf numFmtId="167" fontId="44" fillId="0" borderId="0" applyProtection="1" pivotButton="0" quotePrefix="0" xfId="16">
      <protection locked="0" hidden="1"/>
    </xf>
    <xf numFmtId="168" fontId="44" fillId="0" borderId="5" applyProtection="1" pivotButton="0" quotePrefix="0" xfId="15">
      <protection locked="0" hidden="0"/>
    </xf>
    <xf numFmtId="167" fontId="44" fillId="7" borderId="5" pivotButton="0" quotePrefix="0" xfId="16"/>
    <xf numFmtId="167" fontId="44" fillId="7" borderId="3" pivotButton="0" quotePrefix="0" xfId="16"/>
    <xf numFmtId="167" fontId="44" fillId="7" borderId="0" pivotButton="0" quotePrefix="0" xfId="16"/>
    <xf numFmtId="167" fontId="44" fillId="7" borderId="4" pivotButton="0" quotePrefix="0" xfId="16"/>
    <xf numFmtId="167" fontId="44" fillId="7" borderId="9" pivotButton="0" quotePrefix="0" xfId="16"/>
    <xf numFmtId="167" fontId="44" fillId="7" borderId="10" pivotButton="0" quotePrefix="0" xfId="16"/>
    <xf numFmtId="167" fontId="44" fillId="7" borderId="11" pivotButton="0" quotePrefix="0" xfId="16"/>
    <xf numFmtId="167" fontId="44" fillId="7" borderId="8" pivotButton="0" quotePrefix="0" xfId="16"/>
    <xf numFmtId="167" fontId="44" fillId="7" borderId="6" pivotButton="0" quotePrefix="0" xfId="16"/>
    <xf numFmtId="167" fontId="44" fillId="7" borderId="12" pivotButton="0" quotePrefix="0" xfId="16"/>
    <xf numFmtId="167" fontId="44" fillId="7" borderId="13" pivotButton="0" quotePrefix="0" xfId="16"/>
    <xf numFmtId="167" fontId="44" fillId="7" borderId="14" pivotButton="0" quotePrefix="0" xfId="16"/>
    <xf numFmtId="167" fontId="44" fillId="7" borderId="16" applyProtection="1" pivotButton="0" quotePrefix="0" xfId="16">
      <protection locked="1" hidden="1"/>
    </xf>
    <xf numFmtId="167" fontId="44" fillId="7" borderId="2" applyProtection="1" pivotButton="0" quotePrefix="0" xfId="16">
      <protection locked="1" hidden="1"/>
    </xf>
    <xf numFmtId="167" fontId="44" fillId="7" borderId="7" applyProtection="1" pivotButton="0" quotePrefix="0" xfId="16">
      <protection locked="1" hidden="1"/>
    </xf>
    <xf numFmtId="167" fontId="44" fillId="7" borderId="17" applyProtection="1" pivotButton="0" quotePrefix="0" xfId="16">
      <protection locked="1" hidden="1"/>
    </xf>
    <xf numFmtId="168" fontId="44" fillId="0" borderId="0" applyProtection="1" pivotButton="0" quotePrefix="0" xfId="15">
      <protection locked="0" hidden="1"/>
    </xf>
    <xf numFmtId="164" fontId="44" fillId="0" borderId="9" applyAlignment="1" applyProtection="1" pivotButton="0" quotePrefix="0" xfId="16">
      <alignment horizontal="center"/>
      <protection locked="0" hidden="1"/>
    </xf>
    <xf numFmtId="164" fontId="44" fillId="0" borderId="10" applyAlignment="1" applyProtection="1" pivotButton="0" quotePrefix="0" xfId="16">
      <alignment horizontal="center"/>
      <protection locked="0" hidden="1"/>
    </xf>
    <xf numFmtId="164" fontId="44" fillId="0" borderId="11" applyAlignment="1" applyProtection="1" pivotButton="0" quotePrefix="0" xfId="16">
      <alignment horizontal="center"/>
      <protection locked="0" hidden="1"/>
    </xf>
    <xf numFmtId="164" fontId="44" fillId="5" borderId="0" applyProtection="1" pivotButton="0" quotePrefix="0" xfId="16">
      <protection locked="0" hidden="0"/>
    </xf>
    <xf numFmtId="164" fontId="44" fillId="0" borderId="4" applyAlignment="1" applyProtection="1" pivotButton="0" quotePrefix="0" xfId="16">
      <alignment horizontal="center"/>
      <protection locked="0" hidden="0"/>
    </xf>
    <xf numFmtId="167" fontId="44" fillId="5" borderId="0" applyProtection="1" pivotButton="0" quotePrefix="0" xfId="16">
      <protection locked="0" hidden="0"/>
    </xf>
    <xf numFmtId="167" fontId="44" fillId="0" borderId="3" applyProtection="1" pivotButton="0" quotePrefix="0" xfId="16">
      <protection locked="0" hidden="0"/>
    </xf>
    <xf numFmtId="165" fontId="44" fillId="5" borderId="0" applyProtection="1" pivotButton="0" quotePrefix="0" xfId="16">
      <protection locked="0" hidden="0"/>
    </xf>
    <xf numFmtId="166" fontId="44" fillId="0" borderId="16" applyProtection="1" pivotButton="0" quotePrefix="0" xfId="16">
      <protection locked="0" hidden="1"/>
    </xf>
    <xf numFmtId="166" fontId="44" fillId="20" borderId="7" applyProtection="1" pivotButton="0" quotePrefix="0" xfId="16">
      <protection locked="0" hidden="1"/>
    </xf>
    <xf numFmtId="166" fontId="44" fillId="20" borderId="16" applyProtection="1" pivotButton="0" quotePrefix="0" xfId="16">
      <protection locked="0" hidden="1"/>
    </xf>
    <xf numFmtId="166" fontId="44" fillId="20" borderId="17" applyProtection="1" pivotButton="0" quotePrefix="0" xfId="16">
      <protection locked="0" hidden="1"/>
    </xf>
    <xf numFmtId="170" fontId="17" fillId="0" borderId="0" applyAlignment="1" pivotButton="0" quotePrefix="0" xfId="3">
      <alignment horizontal="right"/>
    </xf>
    <xf numFmtId="171" fontId="44" fillId="0" borderId="9" applyAlignment="1" pivotButton="0" quotePrefix="0" xfId="16">
      <alignment vertical="center" wrapText="1"/>
    </xf>
    <xf numFmtId="167" fontId="14" fillId="0" borderId="0" applyAlignment="1" pivotButton="0" quotePrefix="0" xfId="16">
      <alignment vertical="center"/>
    </xf>
    <xf numFmtId="167" fontId="14" fillId="0" borderId="9" applyAlignment="1" pivotButton="0" quotePrefix="0" xfId="16">
      <alignment vertical="center"/>
    </xf>
    <xf numFmtId="167" fontId="14" fillId="0" borderId="4" applyAlignment="1" pivotButton="0" quotePrefix="0" xfId="16">
      <alignment vertical="center"/>
    </xf>
    <xf numFmtId="171" fontId="44" fillId="8" borderId="18" applyAlignment="1" pivotButton="0" quotePrefix="0" xfId="16">
      <alignment vertical="center" wrapText="1"/>
    </xf>
    <xf numFmtId="167" fontId="14" fillId="8" borderId="39" applyAlignment="1" pivotButton="0" quotePrefix="0" xfId="16">
      <alignment vertical="center"/>
    </xf>
    <xf numFmtId="167" fontId="14" fillId="8" borderId="18" applyAlignment="1" pivotButton="0" quotePrefix="0" xfId="16">
      <alignment vertical="center"/>
    </xf>
    <xf numFmtId="167" fontId="14" fillId="8" borderId="0" applyAlignment="1" pivotButton="0" quotePrefix="0" xfId="16">
      <alignment vertical="center"/>
    </xf>
    <xf numFmtId="167" fontId="14" fillId="2" borderId="55" applyAlignment="1" pivotButton="0" quotePrefix="0" xfId="16">
      <alignment vertical="center"/>
    </xf>
    <xf numFmtId="167" fontId="14" fillId="8" borderId="40" applyAlignment="1" pivotButton="0" quotePrefix="0" xfId="16">
      <alignment vertical="center"/>
    </xf>
    <xf numFmtId="167" fontId="14" fillId="8" borderId="41" applyAlignment="1" pivotButton="0" quotePrefix="0" xfId="16">
      <alignment vertical="center"/>
    </xf>
    <xf numFmtId="171" fontId="44" fillId="9" borderId="19" applyAlignment="1" pivotButton="0" quotePrefix="0" xfId="16">
      <alignment vertical="center" wrapText="1"/>
    </xf>
    <xf numFmtId="167" fontId="14" fillId="9" borderId="42" applyAlignment="1" pivotButton="0" quotePrefix="0" xfId="16">
      <alignment vertical="center"/>
    </xf>
    <xf numFmtId="167" fontId="14" fillId="9" borderId="24" applyAlignment="1" pivotButton="0" quotePrefix="0" xfId="16">
      <alignment vertical="center"/>
    </xf>
    <xf numFmtId="167" fontId="14" fillId="9" borderId="1" applyAlignment="1" pivotButton="0" quotePrefix="0" xfId="16">
      <alignment vertical="center"/>
    </xf>
    <xf numFmtId="167" fontId="14" fillId="9" borderId="50" applyAlignment="1" pivotButton="0" quotePrefix="0" xfId="16">
      <alignment vertical="center"/>
    </xf>
    <xf numFmtId="167" fontId="14" fillId="2" borderId="56" applyAlignment="1" pivotButton="0" quotePrefix="0" xfId="16">
      <alignment vertical="center"/>
    </xf>
    <xf numFmtId="167" fontId="14" fillId="9" borderId="35" applyAlignment="1" pivotButton="0" quotePrefix="0" xfId="16">
      <alignment vertical="center"/>
    </xf>
    <xf numFmtId="171" fontId="44" fillId="0" borderId="19" applyAlignment="1" pivotButton="0" quotePrefix="0" xfId="16">
      <alignment vertical="center" wrapText="1"/>
    </xf>
    <xf numFmtId="171" fontId="44" fillId="10" borderId="20" applyAlignment="1" pivotButton="0" quotePrefix="0" xfId="16">
      <alignment vertical="center" wrapText="1"/>
    </xf>
    <xf numFmtId="167" fontId="14" fillId="10" borderId="13" applyAlignment="1" pivotButton="0" quotePrefix="0" xfId="16">
      <alignment vertical="center"/>
    </xf>
    <xf numFmtId="167" fontId="14" fillId="10" borderId="12" applyAlignment="1" pivotButton="0" quotePrefix="0" xfId="16">
      <alignment vertical="center"/>
    </xf>
    <xf numFmtId="167" fontId="14" fillId="2" borderId="57" applyAlignment="1" pivotButton="0" quotePrefix="0" xfId="16">
      <alignment vertical="center"/>
    </xf>
    <xf numFmtId="167" fontId="14" fillId="10" borderId="14" applyAlignment="1" pivotButton="0" quotePrefix="0" xfId="16">
      <alignment vertical="center"/>
    </xf>
    <xf numFmtId="171" fontId="44" fillId="0" borderId="70" applyAlignment="1" pivotButton="0" quotePrefix="0" xfId="16">
      <alignment vertical="center" wrapText="1"/>
    </xf>
    <xf numFmtId="167" fontId="44" fillId="9" borderId="69" applyAlignment="1" pivotButton="0" quotePrefix="0" xfId="16">
      <alignment vertical="center"/>
    </xf>
    <xf numFmtId="167" fontId="44" fillId="9" borderId="22" applyAlignment="1" pivotButton="0" quotePrefix="0" xfId="16">
      <alignment vertical="center"/>
    </xf>
    <xf numFmtId="167" fontId="44" fillId="9" borderId="23" applyAlignment="1" pivotButton="0" quotePrefix="0" xfId="16">
      <alignment vertical="center"/>
    </xf>
    <xf numFmtId="171" fontId="44" fillId="0" borderId="71" applyAlignment="1" pivotButton="0" quotePrefix="0" xfId="16">
      <alignment vertical="center" wrapText="1"/>
    </xf>
    <xf numFmtId="167" fontId="14" fillId="0" borderId="5" applyAlignment="1" pivotButton="0" quotePrefix="0" xfId="16">
      <alignment vertical="center"/>
    </xf>
    <xf numFmtId="167" fontId="14" fillId="2" borderId="60" applyAlignment="1" pivotButton="0" quotePrefix="0" xfId="16">
      <alignment vertical="center"/>
    </xf>
    <xf numFmtId="167" fontId="14" fillId="0" borderId="58" applyAlignment="1" pivotButton="0" quotePrefix="0" xfId="16">
      <alignment vertical="center"/>
    </xf>
    <xf numFmtId="167" fontId="14" fillId="0" borderId="33" applyAlignment="1" pivotButton="0" quotePrefix="0" xfId="16">
      <alignment vertical="center"/>
    </xf>
    <xf numFmtId="167" fontId="14" fillId="0" borderId="34" applyAlignment="1" pivotButton="0" quotePrefix="0" xfId="16">
      <alignment vertical="center"/>
    </xf>
    <xf numFmtId="171" fontId="44" fillId="0" borderId="24" applyAlignment="1" pivotButton="0" quotePrefix="0" xfId="16">
      <alignment vertical="center" wrapText="1"/>
    </xf>
    <xf numFmtId="167" fontId="14" fillId="0" borderId="8" applyAlignment="1" pivotButton="0" quotePrefix="0" xfId="16">
      <alignment vertical="center"/>
    </xf>
    <xf numFmtId="167" fontId="14" fillId="9" borderId="19" applyAlignment="1" pivotButton="0" quotePrefix="0" xfId="16">
      <alignment vertical="center"/>
    </xf>
    <xf numFmtId="167" fontId="14" fillId="9" borderId="1" applyAlignment="1" pivotButton="0" quotePrefix="1" xfId="16">
      <alignment vertical="center"/>
    </xf>
    <xf numFmtId="171" fontId="44" fillId="11" borderId="20" applyAlignment="1" pivotButton="0" quotePrefix="0" xfId="16">
      <alignment vertical="center" wrapText="1"/>
    </xf>
    <xf numFmtId="167" fontId="14" fillId="11" borderId="37" applyAlignment="1" pivotButton="0" quotePrefix="0" xfId="16">
      <alignment vertical="center"/>
    </xf>
    <xf numFmtId="167" fontId="14" fillId="11" borderId="20" applyAlignment="1" pivotButton="0" quotePrefix="0" xfId="16">
      <alignment vertical="center"/>
    </xf>
    <xf numFmtId="167" fontId="14" fillId="11" borderId="36" applyAlignment="1" pivotButton="0" quotePrefix="0" xfId="16">
      <alignment vertical="center"/>
    </xf>
    <xf numFmtId="167" fontId="14" fillId="14" borderId="57" applyAlignment="1" pivotButton="0" quotePrefix="0" xfId="16">
      <alignment vertical="center"/>
    </xf>
    <xf numFmtId="167" fontId="14" fillId="11" borderId="59" applyAlignment="1" pivotButton="0" quotePrefix="0" xfId="16">
      <alignment vertical="center"/>
    </xf>
    <xf numFmtId="167" fontId="14" fillId="11" borderId="38" applyAlignment="1" pivotButton="0" quotePrefix="0" xfId="16">
      <alignment vertical="center"/>
    </xf>
    <xf numFmtId="171" fontId="44" fillId="9" borderId="21" applyAlignment="1" pivotButton="0" quotePrefix="0" xfId="16">
      <alignment vertical="center" wrapText="1"/>
    </xf>
    <xf numFmtId="171" fontId="44" fillId="10" borderId="25" applyAlignment="1" pivotButton="0" quotePrefix="0" xfId="16">
      <alignment vertical="center" wrapText="1"/>
    </xf>
    <xf numFmtId="167" fontId="14" fillId="11" borderId="32" applyAlignment="1" pivotButton="0" quotePrefix="0" xfId="16">
      <alignment vertical="center"/>
    </xf>
    <xf numFmtId="167" fontId="14" fillId="11" borderId="25" applyAlignment="1" pivotButton="0" quotePrefix="0" xfId="16">
      <alignment vertical="center"/>
    </xf>
    <xf numFmtId="167" fontId="14" fillId="11" borderId="28" applyAlignment="1" pivotButton="0" quotePrefix="0" xfId="16">
      <alignment vertical="center"/>
    </xf>
    <xf numFmtId="167" fontId="14" fillId="13" borderId="2" applyAlignment="1" pivotButton="0" quotePrefix="0" xfId="16">
      <alignment vertical="center"/>
    </xf>
    <xf numFmtId="167" fontId="14" fillId="11" borderId="61" applyAlignment="1" pivotButton="0" quotePrefix="0" xfId="16">
      <alignment vertical="center"/>
    </xf>
    <xf numFmtId="167" fontId="14" fillId="11" borderId="27" applyAlignment="1" pivotButton="0" quotePrefix="0" xfId="16">
      <alignment vertical="center"/>
    </xf>
    <xf numFmtId="171" fontId="44" fillId="12" borderId="26" applyAlignment="1" pivotButton="0" quotePrefix="0" xfId="16">
      <alignment vertical="center" wrapText="1"/>
    </xf>
    <xf numFmtId="167" fontId="14" fillId="12" borderId="25" applyAlignment="1" pivotButton="0" quotePrefix="0" xfId="16">
      <alignment vertical="center"/>
    </xf>
    <xf numFmtId="167" fontId="14" fillId="12" borderId="29" applyAlignment="1" pivotButton="0" quotePrefix="0" xfId="16">
      <alignment vertical="center"/>
    </xf>
    <xf numFmtId="167" fontId="14" fillId="12" borderId="30" applyAlignment="1" pivotButton="0" quotePrefix="0" xfId="16">
      <alignment vertical="center"/>
    </xf>
    <xf numFmtId="167" fontId="14" fillId="12" borderId="2" applyAlignment="1" pivotButton="0" quotePrefix="0" xfId="16">
      <alignment vertical="center"/>
    </xf>
    <xf numFmtId="167" fontId="14" fillId="12" borderId="62" applyAlignment="1" pivotButton="0" quotePrefix="0" xfId="16">
      <alignment vertical="center"/>
    </xf>
    <xf numFmtId="167" fontId="14" fillId="12" borderId="31" applyAlignment="1" pivotButton="0" quotePrefix="0" xfId="16">
      <alignment vertical="center"/>
    </xf>
    <xf numFmtId="166" fontId="44" fillId="0" borderId="63" pivotButton="0" quotePrefix="0" xfId="15"/>
    <xf numFmtId="166" fontId="44" fillId="0" borderId="64" pivotButton="0" quotePrefix="0" xfId="15"/>
    <xf numFmtId="172" fontId="47" fillId="0" borderId="65" pivotButton="0" quotePrefix="0" xfId="15"/>
    <xf numFmtId="166" fontId="44" fillId="0" borderId="44" pivotButton="0" quotePrefix="0" xfId="15"/>
    <xf numFmtId="172" fontId="47" fillId="0" borderId="66" pivotButton="0" quotePrefix="0" xfId="15"/>
    <xf numFmtId="166" fontId="44" fillId="0" borderId="67" pivotButton="0" quotePrefix="0" xfId="15"/>
    <xf numFmtId="172" fontId="47" fillId="0" borderId="68" pivotButton="0" quotePrefix="0" xfId="15"/>
    <xf numFmtId="43" fontId="38" fillId="0" borderId="0" pivotButton="0" quotePrefix="0" xfId="1"/>
    <xf numFmtId="43" fontId="40" fillId="0" borderId="0" applyAlignment="1" pivotButton="0" quotePrefix="0" xfId="1">
      <alignment horizontal="left"/>
    </xf>
    <xf numFmtId="43" fontId="40" fillId="0" borderId="0" applyAlignment="1" pivotButton="0" quotePrefix="0" xfId="1">
      <alignment horizontal="center"/>
    </xf>
    <xf numFmtId="43" fontId="40" fillId="0" borderId="0" pivotButton="0" quotePrefix="0" xfId="1"/>
    <xf numFmtId="165" fontId="38" fillId="0" borderId="0" pivotButton="0" quotePrefix="0" xfId="1"/>
    <xf numFmtId="165" fontId="8" fillId="0" borderId="0" pivotButton="0" quotePrefix="0" xfId="0"/>
    <xf numFmtId="43" fontId="38" fillId="0" borderId="43" pivotButton="0" quotePrefix="0" xfId="1"/>
    <xf numFmtId="43" fontId="17" fillId="0" borderId="0" pivotButton="0" quotePrefix="0" xfId="1"/>
    <xf numFmtId="43" fontId="26" fillId="20" borderId="0" pivotButton="0" quotePrefix="0" xfId="1"/>
    <xf numFmtId="43" fontId="14" fillId="0" borderId="0" applyAlignment="1" pivotButton="0" quotePrefix="0" xfId="1">
      <alignment horizontal="center"/>
    </xf>
    <xf numFmtId="43" fontId="17" fillId="0" borderId="0" applyAlignment="1" pivotButton="0" quotePrefix="0" xfId="1">
      <alignment horizontal="center"/>
    </xf>
    <xf numFmtId="165" fontId="38" fillId="17" borderId="0" pivotButton="0" quotePrefix="0" xfId="1"/>
    <xf numFmtId="165" fontId="38" fillId="15" borderId="0" pivotButton="0" quotePrefix="0" xfId="1"/>
    <xf numFmtId="165" fontId="38" fillId="18" borderId="0" pivotButton="0" quotePrefix="0" xfId="1"/>
    <xf numFmtId="165" fontId="38" fillId="16" borderId="0" pivotButton="0" quotePrefix="0" xfId="1"/>
    <xf numFmtId="165" fontId="38" fillId="19" borderId="0" pivotButton="0" quotePrefix="0" xfId="1"/>
    <xf numFmtId="43" fontId="17" fillId="0" borderId="43" pivotButton="0" quotePrefix="0" xfId="1"/>
    <xf numFmtId="165" fontId="20" fillId="0" borderId="0" pivotButton="0" quotePrefix="0" xfId="0"/>
    <xf numFmtId="43" fontId="18" fillId="0" borderId="0" applyAlignment="1" pivotButton="0" quotePrefix="0" xfId="1">
      <alignment horizontal="left"/>
    </xf>
    <xf numFmtId="43" fontId="18" fillId="0" borderId="0" applyAlignment="1" pivotButton="0" quotePrefix="0" xfId="1">
      <alignment horizontal="center"/>
    </xf>
    <xf numFmtId="43" fontId="19" fillId="0" borderId="0" pivotButton="0" quotePrefix="0" xfId="1"/>
    <xf numFmtId="43" fontId="20" fillId="0" borderId="0" pivotButton="0" quotePrefix="0" xfId="1"/>
    <xf numFmtId="165" fontId="20" fillId="0" borderId="0" pivotButton="0" quotePrefix="0" xfId="1"/>
    <xf numFmtId="165" fontId="19" fillId="0" borderId="0" pivotButton="0" quotePrefix="0" xfId="1"/>
    <xf numFmtId="165" fontId="5" fillId="0" borderId="0" pivotButton="0" quotePrefix="0" xfId="0"/>
    <xf numFmtId="165" fontId="0" fillId="0" borderId="0" pivotButton="0" quotePrefix="0" xfId="0"/>
    <xf numFmtId="165" fontId="19" fillId="0" borderId="0" pivotButton="0" quotePrefix="0" xfId="0"/>
    <xf numFmtId="165" fontId="10" fillId="0" borderId="0" pivotButton="0" quotePrefix="0" xfId="0"/>
    <xf numFmtId="165" fontId="19" fillId="0" borderId="15" pivotButton="0" quotePrefix="0" xfId="1"/>
    <xf numFmtId="165" fontId="9" fillId="0" borderId="0" pivotButton="0" quotePrefix="0" xfId="0"/>
    <xf numFmtId="165" fontId="19" fillId="0" borderId="43" pivotButton="0" quotePrefix="0" xfId="1"/>
    <xf numFmtId="164" fontId="0" fillId="0" borderId="0" pivotButton="0" quotePrefix="0" xfId="0"/>
    <xf numFmtId="43" fontId="28" fillId="0" borderId="0" applyAlignment="1" pivotButton="0" quotePrefix="0" xfId="1">
      <alignment horizontal="center"/>
    </xf>
    <xf numFmtId="43" fontId="16" fillId="0" borderId="0" pivotButton="0" quotePrefix="0" xfId="1"/>
    <xf numFmtId="43" fontId="3" fillId="0" borderId="0" pivotButton="0" quotePrefix="0" xfId="1"/>
    <xf numFmtId="43" fontId="9" fillId="0" borderId="0" pivotButton="0" quotePrefix="0" xfId="1"/>
    <xf numFmtId="43" fontId="3" fillId="0" borderId="0" applyAlignment="1" pivotButton="0" quotePrefix="0" xfId="1">
      <alignment horizontal="left" vertical="center"/>
    </xf>
    <xf numFmtId="43" fontId="0" fillId="0" borderId="0" pivotButton="0" quotePrefix="0" xfId="1"/>
    <xf numFmtId="165" fontId="3" fillId="0" borderId="0" pivotButton="0" quotePrefix="0" xfId="1"/>
    <xf numFmtId="165" fontId="9" fillId="0" borderId="15" pivotButton="0" quotePrefix="0" xfId="1"/>
    <xf numFmtId="165" fontId="9" fillId="0" borderId="0" pivotButton="0" quotePrefix="0" xfId="1"/>
    <xf numFmtId="43" fontId="3" fillId="0" borderId="0" applyAlignment="1" pivotButton="0" quotePrefix="0" xfId="1">
      <alignment vertical="center"/>
    </xf>
    <xf numFmtId="165" fontId="9" fillId="0" borderId="43" pivotButton="0" quotePrefix="0" xfId="1"/>
    <xf numFmtId="43" fontId="21" fillId="0" borderId="0" pivotButton="0" quotePrefix="0" xfId="1"/>
    <xf numFmtId="165" fontId="3" fillId="0" borderId="0" pivotButton="0" quotePrefix="0" xfId="0"/>
    <xf numFmtId="165" fontId="0" fillId="0" borderId="0" pivotButton="0" quotePrefix="0" xfId="1"/>
    <xf numFmtId="165" fontId="3" fillId="0" borderId="15" pivotButton="0" quotePrefix="0" xfId="1"/>
    <xf numFmtId="166" fontId="0" fillId="0" borderId="0" pivotButton="0" quotePrefix="0" xfId="0"/>
    <xf numFmtId="0" fontId="0" fillId="0" borderId="46" pivotButton="0" quotePrefix="0" xfId="0"/>
    <xf numFmtId="43" fontId="3" fillId="0" borderId="44" pivotButton="0" quotePrefix="0" xfId="1"/>
    <xf numFmtId="166" fontId="3" fillId="0" borderId="0" pivotButton="0" quotePrefix="0" xfId="10"/>
    <xf numFmtId="164" fontId="43" fillId="0" borderId="54" applyAlignment="1" pivotButton="0" quotePrefix="0" xfId="0">
      <alignment horizontal="right" vertical="center"/>
    </xf>
    <xf numFmtId="166" fontId="17" fillId="0" borderId="9" pivotButton="0" quotePrefix="0" xfId="10"/>
    <xf numFmtId="166" fontId="17" fillId="0" borderId="10" pivotButton="0" quotePrefix="0" xfId="10"/>
    <xf numFmtId="43" fontId="3" fillId="0" borderId="10" pivotButton="0" quotePrefix="0" xfId="1"/>
    <xf numFmtId="166" fontId="14" fillId="0" borderId="5" pivotButton="0" quotePrefix="0" xfId="10"/>
    <xf numFmtId="166" fontId="17" fillId="0" borderId="63" pivotButton="0" quotePrefix="0" xfId="10"/>
    <xf numFmtId="166" fontId="14" fillId="0" borderId="64" pivotButton="0" quotePrefix="0" xfId="10"/>
    <xf numFmtId="166" fontId="14" fillId="0" borderId="65" pivotButton="0" quotePrefix="0" xfId="10"/>
    <xf numFmtId="166" fontId="17" fillId="0" borderId="73" pivotButton="0" quotePrefix="0" xfId="10"/>
    <xf numFmtId="166" fontId="14" fillId="0" borderId="44" pivotButton="0" quotePrefix="0" xfId="10"/>
    <xf numFmtId="166" fontId="14" fillId="0" borderId="66" pivotButton="0" quotePrefix="0" xfId="10"/>
    <xf numFmtId="166" fontId="17" fillId="0" borderId="74" pivotButton="0" quotePrefix="0" xfId="10"/>
    <xf numFmtId="166" fontId="14" fillId="0" borderId="67" pivotButton="0" quotePrefix="0" xfId="10"/>
    <xf numFmtId="166" fontId="14" fillId="0" borderId="68" pivotButton="0" quotePrefix="0" xfId="10"/>
    <xf numFmtId="166" fontId="17" fillId="0" borderId="5" pivotButton="0" quotePrefix="0" xfId="10"/>
    <xf numFmtId="166" fontId="0" fillId="0" borderId="44" pivotButton="0" quotePrefix="0" xfId="0"/>
    <xf numFmtId="166" fontId="9" fillId="0" borderId="44" pivotButton="0" quotePrefix="0" xfId="0"/>
    <xf numFmtId="174" fontId="0" fillId="0" borderId="83" applyAlignment="1" pivotButton="0" quotePrefix="0" xfId="0">
      <alignment vertical="center" wrapText="1"/>
    </xf>
    <xf numFmtId="174" fontId="0" fillId="0" borderId="83" pivotButton="0" quotePrefix="0" xfId="0"/>
  </cellXfs>
  <cellStyles count="20">
    <cellStyle name="Normal" xfId="0" builtinId="0"/>
    <cellStyle name="Comma" xfId="1" builtinId="3"/>
    <cellStyle name="Default 1" xfId="2"/>
    <cellStyle name="Excel_20_Built-in_20_Normal" xfId="3"/>
    <cellStyle name="Heading 5" xfId="4"/>
    <cellStyle name="Heading1 1" xfId="5"/>
    <cellStyle name="Normal 2" xfId="6"/>
    <cellStyle name="Normal_P_L_2012-13_actual" xfId="7"/>
    <cellStyle name="Result 1" xfId="8"/>
    <cellStyle name="Result2 1" xfId="9"/>
    <cellStyle name="Normal 3" xfId="10"/>
    <cellStyle name="Percent" xfId="11" builtinId="5"/>
    <cellStyle name="Normal 4" xfId="12"/>
    <cellStyle name="Currency 2" xfId="13"/>
    <cellStyle name="Hyperlink 2" xfId="14"/>
    <cellStyle name="Normal 5" xfId="15"/>
    <cellStyle name="Comma 2" xfId="16"/>
    <cellStyle name="Normal_P_L_2012-13_actual 2" xfId="17"/>
    <cellStyle name="Currency" xfId="18" builtinId="4"/>
    <cellStyle name="Hyperlink" xfId="19" builtinId="8"/>
  </cellStyle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Sales vs Profit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Graphs!$B$4</f>
              <strCache>
                <ptCount val="1"/>
                <pt idx="0">
                  <v>Sales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Graphs!$A$5:$A$9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Graphs!$B$5:$B$9</f>
              <numCache>
                <formatCode xml:space="preserve">_-[$$-409]* #,##0.00_ ;_-[$$-409]* \-#,##0.00\ ;_-[$$-409]* "-"??_ ;_-@_ </formatCode>
                <ptCount val="5"/>
                <pt idx="0">
                  <v>40729621.31371652</v>
                </pt>
                <pt idx="1">
                  <v>68482264.02447248</v>
                </pt>
                <pt idx="2">
                  <v>82127585.7972589</v>
                </pt>
                <pt idx="3">
                  <v>139309086.5457704</v>
                </pt>
                <pt idx="4">
                  <v>236486675.2415703</v>
                </pt>
              </numCache>
            </numRef>
          </val>
        </ser>
        <ser>
          <idx val="1"/>
          <order val="1"/>
          <tx>
            <strRef>
              <f>Graphs!$C$4</f>
              <strCache>
                <ptCount val="1"/>
                <pt idx="0">
                  <v xml:space="preserve"> Profit 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Graphs!$A$5:$A$9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Graphs!$C$5:$C$9</f>
              <numCache>
                <formatCode>_(* #,##0.00_);_(* \(#,##0.00\);_(* "-"??_);_(@_)</formatCode>
                <ptCount val="5"/>
                <pt idx="0">
                  <v>17206382.77050448</v>
                </pt>
                <pt idx="1">
                  <v>36937995.24753411</v>
                </pt>
                <pt idx="2">
                  <v>41442833.06851314</v>
                </pt>
                <pt idx="3">
                  <v>88328166.57817654</v>
                </pt>
                <pt idx="4">
                  <v>184606125.4649363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0032128"/>
        <axId val="170042112"/>
      </barChart>
      <catAx>
        <axId val="17003212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0042112"/>
        <crosses val="autoZero"/>
        <auto val="1"/>
        <lblAlgn val="ctr"/>
        <lblOffset val="100"/>
        <noMultiLvlLbl val="0"/>
      </catAx>
      <valAx>
        <axId val="1700421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-[$$-409]* #,##0.00_ ;_-[$$-409]* \-#,##0.00\ ;_-[$$-409]* &quot;-&quot;??_ ;_-@_ 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00321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GB"/>
              <a:t>Revenue</a:t>
            </a:r>
            <a:r>
              <a:rPr lang="en-GB" baseline="0"/>
              <a:t xml:space="preserve"> By product offerings (Year 1)</a:t>
            </a:r>
          </a:p>
        </rich>
      </tx>
      <layout>
        <manualLayout>
          <xMode val="edge"/>
          <yMode val="edge"/>
          <wMode val="factor"/>
          <hMode val="factor"/>
          <x val="0.4131276844486828"/>
          <y val="0.9133013425793549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1044145961259581"/>
          <y val="0.1674297720474438"/>
          <w val="0.8244253778622496"/>
          <h val="0.7402865017796996"/>
        </manualLayout>
      </layout>
      <pie3D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explosion val="1"/>
          <dLbls>
            <dLbl>
              <idx val="0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1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2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3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4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5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6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7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8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9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10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11"/>
              <showLegendKey val="0"/>
              <showVal val="0"/>
              <showCatName val="1"/>
              <showSerName val="0"/>
              <showPercent val="1"/>
              <showBubbleSize val="0"/>
            </dLbl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0"/>
            <showVal val="0"/>
            <showCatName val="1"/>
            <showSerName val="0"/>
            <showPercent val="1"/>
            <showBubbleSize val="0"/>
            <showLeaderLines val="1"/>
          </dLbls>
          <cat>
            <strRef>
              <f>Graphs!$A$43:$A$55</f>
              <strCache>
                <ptCount val="13"/>
                <pt idx="0">
                  <v xml:space="preserve"> Daily Wifi Topups (ZMW 10) </v>
                </pt>
                <pt idx="1">
                  <v xml:space="preserve"> Weekly Wifi Topups (ZMW 50) </v>
                </pt>
                <pt idx="2">
                  <v xml:space="preserve"> Monthly Wifi Topups (ZMW 400) </v>
                </pt>
                <pt idx="3">
                  <v xml:space="preserve"> Enterprise 1 (Up to 10 Employees) </v>
                </pt>
                <pt idx="4">
                  <v xml:space="preserve"> Enterprise 2 (Up to 25 Employees) </v>
                </pt>
                <pt idx="5">
                  <v xml:space="preserve"> Enterprise 3  (Up to 50 Employees) </v>
                </pt>
                <pt idx="6">
                  <v xml:space="preserve"> Enterprise 4  (Up to 99 Employees) </v>
                </pt>
                <pt idx="7">
                  <v xml:space="preserve"> $-   </v>
                </pt>
                <pt idx="8">
                  <v xml:space="preserve"> $-   </v>
                </pt>
                <pt idx="9">
                  <v xml:space="preserve"> $-   </v>
                </pt>
                <pt idx="10">
                  <v xml:space="preserve"> $-   </v>
                </pt>
                <pt idx="11">
                  <v xml:space="preserve"> $-   </v>
                </pt>
                <pt idx="12">
                  <v xml:space="preserve"> $-   </v>
                </pt>
              </strCache>
            </strRef>
          </cat>
          <val>
            <numRef>
              <f>Graphs!$B$43:$B$55</f>
              <numCache>
                <formatCode xml:space="preserve">_-[$$-409]* #,##0.00_ ;_-[$$-409]* \-#,##0.00\ ;_-[$$-409]* "-"??_ ;_-@_ </formatCode>
                <ptCount val="13"/>
                <pt idx="0">
                  <v>685009.7108437943</v>
                </pt>
                <pt idx="1">
                  <v>5795482.542172252</v>
                </pt>
                <pt idx="2">
                  <v>33075666.12050213</v>
                </pt>
                <pt idx="3">
                  <v>146922.8243196313</v>
                </pt>
                <pt idx="4">
                  <v>307243.6486479359</v>
                </pt>
                <pt idx="5">
                  <v>319612.5555983359</v>
                </pt>
                <pt idx="6">
                  <v>399683.9116324453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</numCache>
            </numRef>
          </val>
        </ser>
        <dLbls>
          <showLegendKey val="0"/>
          <showVal val="0"/>
          <showCatName val="1"/>
          <showSerName val="0"/>
          <showPercent val="1"/>
          <showBubbleSize val="0"/>
          <showLeaderLines val="1"/>
        </dLbls>
      </pie3DChart>
    </plotArea>
    <plotVisOnly val="1"/>
    <dispBlanksAs val="zero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GB"/>
              <a:t>Sales (Year 1)</a:t>
            </a:r>
          </a:p>
        </rich>
      </tx>
      <overlay val="0"/>
    </title>
    <view3D>
      <rotX val="15"/>
      <rotY val="20"/>
      <rAngAx val="1"/>
    </view3D>
    <floor>
      <thickness val="0"/>
    </floor>
    <sideWall>
      <thickness val="0"/>
    </sideWall>
    <backWall>
      <thickness val="0"/>
    </backWall>
    <plotArea>
      <layout/>
      <bar3DChart>
        <barDir val="col"/>
        <grouping val="stacked"/>
        <varyColors val="0"/>
        <ser>
          <idx val="0"/>
          <order val="0"/>
          <tx>
            <strRef>
              <f>Graphs!$A$90</f>
              <strCache>
                <ptCount val="1"/>
                <pt idx="0">
                  <v xml:space="preserve"> Daily Wifi Topups (ZMW 10)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Graphs!$B$90:$M$90</f>
              <numCache>
                <formatCode xml:space="preserve">_-[$$-409]* #,##0.00_ ;_-[$$-409]* \-#,##0.00\ ;_-[$$-409]* "-"??_ ;_-@_ </formatCode>
                <ptCount val="12"/>
                <pt idx="0">
                  <v>37600</v>
                </pt>
                <pt idx="1">
                  <v>38352</v>
                </pt>
                <pt idx="2">
                  <v>39119.04</v>
                </pt>
                <pt idx="3">
                  <v>39901.4208</v>
                </pt>
                <pt idx="4">
                  <v>43093.534464</v>
                </pt>
                <pt idx="5">
                  <v>48264.75859968001</v>
                </pt>
                <pt idx="6">
                  <v>54056.52963164162</v>
                </pt>
                <pt idx="7">
                  <v>60543.31318743862</v>
                </pt>
                <pt idx="8">
                  <v>67808.51076993126</v>
                </pt>
                <pt idx="9">
                  <v>75945.53206232302</v>
                </pt>
                <pt idx="10">
                  <v>85058.99590980179</v>
                </pt>
                <pt idx="11">
                  <v>95266.07541897801</v>
                </pt>
              </numCache>
            </numRef>
          </val>
        </ser>
        <ser>
          <idx val="1"/>
          <order val="1"/>
          <tx>
            <strRef>
              <f>Graphs!$A$91</f>
              <strCache>
                <ptCount val="1"/>
                <pt idx="0">
                  <v xml:space="preserve"> Weekly Wifi Topups (ZMW 50)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Graphs!$B$91:$M$91</f>
              <numCache>
                <formatCode xml:space="preserve">_-[$$-409]* #,##0.00_ ;_-[$$-409]* \-#,##0.00\ ;_-[$$-409]* "-"??_ ;_-@_ </formatCode>
                <ptCount val="12"/>
                <pt idx="0">
                  <v>292500</v>
                </pt>
                <pt idx="1">
                  <v>325992</v>
                </pt>
                <pt idx="2">
                  <v>332511.84</v>
                </pt>
                <pt idx="3">
                  <v>339162.0768</v>
                </pt>
                <pt idx="4">
                  <v>366295.042944</v>
                </pt>
                <pt idx="5">
                  <v>410250.4480972801</v>
                </pt>
                <pt idx="6">
                  <v>459480.5018689538</v>
                </pt>
                <pt idx="7">
                  <v>514618.1620932283</v>
                </pt>
                <pt idx="8">
                  <v>576372.3415444158</v>
                </pt>
                <pt idx="9">
                  <v>645537.0225297457</v>
                </pt>
                <pt idx="10">
                  <v>723001.4652333151</v>
                </pt>
                <pt idx="11">
                  <v>809761.6410613131</v>
                </pt>
              </numCache>
            </numRef>
          </val>
        </ser>
        <ser>
          <idx val="2"/>
          <order val="2"/>
          <tx>
            <strRef>
              <f>Graphs!$A$92</f>
              <strCache>
                <ptCount val="1"/>
                <pt idx="0">
                  <v xml:space="preserve"> Monthly Wifi Topups (ZMW 400)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Graphs!$B$92:$M$92</f>
              <numCache>
                <formatCode xml:space="preserve">_-[$$-409]* #,##0.00_ ;_-[$$-409]* \-#,##0.00\ ;_-[$$-409]* "-"??_ ;_-@_ </formatCode>
                <ptCount val="12"/>
                <pt idx="0">
                  <v>2000000</v>
                </pt>
                <pt idx="1">
                  <v>1840896</v>
                </pt>
                <pt idx="2">
                  <v>1877713.92</v>
                </pt>
                <pt idx="3">
                  <v>1915268.1984</v>
                </pt>
                <pt idx="4">
                  <v>2068489.654272</v>
                </pt>
                <pt idx="5">
                  <v>2316708.41278464</v>
                </pt>
                <pt idx="6">
                  <v>2594713.422318798</v>
                </pt>
                <pt idx="7">
                  <v>2906079.032997054</v>
                </pt>
                <pt idx="8">
                  <v>3254808.5169567</v>
                </pt>
                <pt idx="9">
                  <v>3645385.538991505</v>
                </pt>
                <pt idx="10">
                  <v>4082831.803670486</v>
                </pt>
                <pt idx="11">
                  <v>4572771.620110945</v>
                </pt>
              </numCache>
            </numRef>
          </val>
        </ser>
        <ser>
          <idx val="3"/>
          <order val="3"/>
          <tx>
            <strRef>
              <f>Graphs!$A$93</f>
              <strCache>
                <ptCount val="1"/>
                <pt idx="0">
                  <v xml:space="preserve"> Enterprise 1 (Up to 10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Graphs!$B$93:$M$93</f>
              <numCache>
                <formatCode xml:space="preserve">_-[$$-409]* #,##0.00_ ;_-[$$-409]* \-#,##0.00\ ;_-[$$-409]* "-"??_ ;_-@_ </formatCode>
                <ptCount val="12"/>
                <pt idx="0">
                  <v>3712</v>
                </pt>
                <pt idx="1">
                  <v>4454.4</v>
                </pt>
                <pt idx="2">
                  <v>5345.28</v>
                </pt>
                <pt idx="3">
                  <v>6414.336</v>
                </pt>
                <pt idx="4">
                  <v>7697.2032</v>
                </pt>
                <pt idx="5">
                  <v>9236.643839999999</v>
                </pt>
                <pt idx="6">
                  <v>11083.972608</v>
                </pt>
                <pt idx="7">
                  <v>13300.7671296</v>
                </pt>
                <pt idx="8">
                  <v>15960.92055552</v>
                </pt>
                <pt idx="9">
                  <v>19153.104666624</v>
                </pt>
                <pt idx="10">
                  <v>22983.7255999488</v>
                </pt>
                <pt idx="11">
                  <v>27580.47071993856</v>
                </pt>
              </numCache>
            </numRef>
          </val>
        </ser>
        <ser>
          <idx val="4"/>
          <order val="4"/>
          <tx>
            <strRef>
              <f>Graphs!$A$94</f>
              <strCache>
                <ptCount val="1"/>
                <pt idx="0">
                  <v xml:space="preserve"> Enterprise 2 (Up to 25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Graphs!$B$94:$M$94</f>
              <numCache>
                <formatCode xml:space="preserve">_-[$$-409]* #,##0.00_ ;_-[$$-409]* \-#,##0.00\ ;_-[$$-409]* "-"??_ ;_-@_ </formatCode>
                <ptCount val="12"/>
                <pt idx="0">
                  <v>7762.5</v>
                </pt>
                <pt idx="1">
                  <v>9315</v>
                </pt>
                <pt idx="2">
                  <v>11178</v>
                </pt>
                <pt idx="3">
                  <v>13413.6</v>
                </pt>
                <pt idx="4">
                  <v>16096.32</v>
                </pt>
                <pt idx="5">
                  <v>19315.584</v>
                </pt>
                <pt idx="6">
                  <v>23178.7008</v>
                </pt>
                <pt idx="7">
                  <v>27814.44095999999</v>
                </pt>
                <pt idx="8">
                  <v>33377.32915199999</v>
                </pt>
                <pt idx="9">
                  <v>40052.79498239999</v>
                </pt>
                <pt idx="10">
                  <v>48063.35397887998</v>
                </pt>
                <pt idx="11">
                  <v>57676.02477465598</v>
                </pt>
              </numCache>
            </numRef>
          </val>
        </ser>
        <ser>
          <idx val="5"/>
          <order val="5"/>
          <tx>
            <strRef>
              <f>Graphs!$A$95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Graphs!$B$95:$M$95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6"/>
          <order val="6"/>
          <tx>
            <strRef>
              <f>Graphs!$A$96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Graphs!$B$96:$M$96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7"/>
          <order val="7"/>
          <tx>
            <strRef>
              <f>Graphs!$A$97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Graphs!$B$97:$M$97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8"/>
          <order val="8"/>
          <tx>
            <strRef>
              <f>Graphs!$A$98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Graphs!$B$98:$M$98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9"/>
          <order val="9"/>
          <tx>
            <strRef>
              <f>Graphs!$A$99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Graphs!$B$99:$M$99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10"/>
          <order val="10"/>
          <tx>
            <strRef>
              <f>Graphs!$A$100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Graphs!$B$100:$M$100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gapDepth val="150"/>
        <shape val="box"/>
        <axId val="170441728"/>
        <axId val="170210048"/>
        <axId val="1000"/>
      </bar3DChart>
      <catAx>
        <axId val="17044172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70210048"/>
        <crosses val="autoZero"/>
        <auto val="1"/>
        <lblAlgn val="ctr"/>
        <lblOffset val="100"/>
        <noMultiLvlLbl val="0"/>
      </catAx>
      <valAx>
        <axId val="170210048"/>
        <scaling>
          <orientation val="minMax"/>
        </scaling>
        <delete val="0"/>
        <axPos val="l"/>
        <majorGridlines/>
        <numFmt formatCode="_-[$$-409]* #,##0.00_ ;_-[$$-409]* \-#,##0.00\ ;_-[$$-409]* &quot;-&quot;??_ ;_-@_ " sourceLinked="1"/>
        <majorTickMark val="out"/>
        <minorTickMark val="none"/>
        <tickLblPos val="nextTo"/>
        <crossAx val="170441728"/>
        <crosses val="autoZero"/>
        <crossBetween val="between"/>
      </valAx>
      <serAx>
        <axId val="1000"/>
        <scaling>
          <orientation val="minMax"/>
        </scaling>
        <axPos val="l"/>
        <majorTickMark val="none"/>
        <minorTickMark val="none"/>
        <crossAx val="10"/>
      </serAx>
    </plotArea>
    <legend>
      <legendPos val="r"/>
      <overlay val="0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GB"/>
              <a:t>Sales Forecast</a:t>
            </a:r>
          </a:p>
        </rich>
      </tx>
      <overlay val="0"/>
    </title>
    <view3D>
      <rotX val="15"/>
      <rotY val="20"/>
      <rAngAx val="1"/>
    </view3D>
    <floor>
      <thickness val="0"/>
    </floor>
    <sideWall>
      <thickness val="0"/>
    </sideWall>
    <backWall>
      <thickness val="0"/>
    </backWall>
    <plotArea>
      <layout/>
      <bar3DChart>
        <barDir val="col"/>
        <grouping val="stacked"/>
        <varyColors val="0"/>
        <ser>
          <idx val="0"/>
          <order val="0"/>
          <tx>
            <strRef>
              <f>Graphs!$A$134</f>
              <strCache>
                <ptCount val="1"/>
                <pt idx="0">
                  <v xml:space="preserve"> Daily Wifi Topups (ZMW 10)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Graphs!$B$134:$F$134</f>
              <numCache>
                <formatCode xml:space="preserve">_-[$$-409]* #,##0.00_ ;_-[$$-409]* \-#,##0.00\ ;_-[$$-409]* "-"??_ ;_-@_ </formatCode>
                <ptCount val="5"/>
                <pt idx="0">
                  <v>685009.7108437943</v>
                </pt>
                <pt idx="1">
                  <v>1164516.50843445</v>
                </pt>
                <pt idx="2">
                  <v>1397419.81012134</v>
                </pt>
                <pt idx="3">
                  <v>2375613.677206278</v>
                </pt>
                <pt idx="4">
                  <v>4038543.251250673</v>
                </pt>
              </numCache>
            </numRef>
          </val>
        </ser>
        <ser>
          <idx val="1"/>
          <order val="1"/>
          <tx>
            <strRef>
              <f>Graphs!$A$135</f>
              <strCache>
                <ptCount val="1"/>
                <pt idx="0">
                  <v xml:space="preserve"> Weekly Wifi Topups (ZMW 50)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Graphs!$B$135:$F$135</f>
              <numCache>
                <formatCode xml:space="preserve">_-[$$-409]* #,##0.00_ ;_-[$$-409]* \-#,##0.00\ ;_-[$$-409]* "-"??_ ;_-@_ </formatCode>
                <ptCount val="5"/>
                <pt idx="0">
                  <v>5795482.542172252</v>
                </pt>
                <pt idx="1">
                  <v>9852320.321692828</v>
                </pt>
                <pt idx="2">
                  <v>11822784.38603139</v>
                </pt>
                <pt idx="3">
                  <v>20098733.45625337</v>
                </pt>
                <pt idx="4">
                  <v>34167846.87563073</v>
                </pt>
              </numCache>
            </numRef>
          </val>
        </ser>
        <ser>
          <idx val="2"/>
          <order val="2"/>
          <tx>
            <strRef>
              <f>Graphs!$A$136</f>
              <strCache>
                <ptCount val="1"/>
                <pt idx="0">
                  <v xml:space="preserve"> Monthly Wifi Topups (ZMW 400)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Graphs!$B$136:$F$136</f>
              <numCache>
                <formatCode xml:space="preserve">_-[$$-409]* #,##0.00_ ;_-[$$-409]* \-#,##0.00\ ;_-[$$-409]* "-"??_ ;_-@_ </formatCode>
                <ptCount val="5"/>
                <pt idx="0">
                  <v>33075666.12050213</v>
                </pt>
                <pt idx="1">
                  <v>56228632.40485361</v>
                </pt>
                <pt idx="2">
                  <v>67474358.88582432</v>
                </pt>
                <pt idx="3">
                  <v>114706410.1059014</v>
                </pt>
                <pt idx="4">
                  <v>195000897.1800323</v>
                </pt>
              </numCache>
            </numRef>
          </val>
        </ser>
        <ser>
          <idx val="3"/>
          <order val="3"/>
          <tx>
            <strRef>
              <f>Graphs!$A$137</f>
              <strCache>
                <ptCount val="1"/>
                <pt idx="0">
                  <v xml:space="preserve"> Enterprise 1 (Up to 10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Graphs!$B$137:$F$137</f>
              <numCache>
                <formatCode xml:space="preserve">_-[$$-409]* #,##0.00_ ;_-[$$-409]* \-#,##0.00\ ;_-[$$-409]* "-"??_ ;_-@_ </formatCode>
                <ptCount val="5"/>
                <pt idx="0">
                  <v>146922.8243196313</v>
                </pt>
                <pt idx="1">
                  <v>249768.8013433733</v>
                </pt>
                <pt idx="2">
                  <v>299722.5616120479</v>
                </pt>
                <pt idx="3">
                  <v>509528.3547404814</v>
                </pt>
                <pt idx="4">
                  <v>866198.2030588185</v>
                </pt>
              </numCache>
            </numRef>
          </val>
        </ser>
        <ser>
          <idx val="4"/>
          <order val="4"/>
          <tx>
            <strRef>
              <f>Graphs!$A$138</f>
              <strCache>
                <ptCount val="1"/>
                <pt idx="0">
                  <v xml:space="preserve"> Enterprise 2 (Up to 25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Graphs!$B$138:$F$138</f>
              <numCache>
                <formatCode xml:space="preserve">_-[$$-409]* #,##0.00_ ;_-[$$-409]* \-#,##0.00\ ;_-[$$-409]* "-"??_ ;_-@_ </formatCode>
                <ptCount val="5"/>
                <pt idx="0">
                  <v>307243.6486479359</v>
                </pt>
                <pt idx="1">
                  <v>522314.202701491</v>
                </pt>
                <pt idx="2">
                  <v>626777.0432417891</v>
                </pt>
                <pt idx="3">
                  <v>1065520.973511041</v>
                </pt>
                <pt idx="4">
                  <v>1811385.65496877</v>
                </pt>
              </numCache>
            </numRef>
          </val>
        </ser>
        <ser>
          <idx val="5"/>
          <order val="5"/>
          <tx>
            <strRef>
              <f>Graphs!$A$139</f>
              <strCache>
                <ptCount val="1"/>
                <pt idx="0">
                  <v xml:space="preserve"> Enterprise 3  (Up to 50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Graphs!$B$139:$F$139</f>
              <numCache>
                <formatCode xml:space="preserve">_-[$$-409]* #,##0.00_ ;_-[$$-409]* \-#,##0.00\ ;_-[$$-409]* "-"??_ ;_-@_ </formatCode>
                <ptCount val="5"/>
                <pt idx="0">
                  <v>319612.5555983359</v>
                </pt>
                <pt idx="1">
                  <v>37050</v>
                </pt>
                <pt idx="2">
                  <v>48925</v>
                </pt>
                <pt idx="3">
                  <v>63650</v>
                </pt>
                <pt idx="4">
                  <v>77900</v>
                </pt>
              </numCache>
            </numRef>
          </val>
        </ser>
        <ser>
          <idx val="6"/>
          <order val="6"/>
          <tx>
            <strRef>
              <f>Graphs!$A$140</f>
              <strCache>
                <ptCount val="1"/>
                <pt idx="0">
                  <v xml:space="preserve"> Enterprise 4  (Up to 99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Graphs!$B$140:$F$140</f>
              <numCache>
                <formatCode xml:space="preserve">_-[$$-409]* #,##0.00_ ;_-[$$-409]* \-#,##0.00\ ;_-[$$-409]* "-"??_ ;_-@_ </formatCode>
                <ptCount val="5"/>
                <pt idx="0">
                  <v>399683.9116324453</v>
                </pt>
                <pt idx="1">
                  <v>427661.7854467165</v>
                </pt>
                <pt idx="2">
                  <v>457598.1104279867</v>
                </pt>
                <pt idx="3">
                  <v>489629.9781579458</v>
                </pt>
                <pt idx="4">
                  <v>523904.076629002</v>
                </pt>
              </numCache>
            </numRef>
          </val>
        </ser>
        <ser>
          <idx val="7"/>
          <order val="7"/>
          <tx>
            <strRef>
              <f>Graphs!$A$141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Graphs!$B$141:$F$141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8"/>
          <order val="8"/>
          <tx>
            <strRef>
              <f>Graphs!$A$142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Graphs!$B$142:$F$142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9"/>
          <order val="9"/>
          <tx>
            <strRef>
              <f>Graphs!$A$143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Graphs!$B$143:$F$143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10"/>
          <order val="10"/>
          <tx>
            <strRef>
              <f>Graphs!$A$144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Graphs!$B$144:$F$144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11"/>
          <order val="11"/>
          <tx>
            <strRef>
              <f>Graphs!$A$145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Graphs!$B$145:$F$145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12"/>
          <order val="12"/>
          <tx>
            <strRef>
              <f>Graphs!$A$146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Graphs!$B$146:$F$146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gapDepth val="150"/>
        <shape val="box"/>
        <axId val="170529536"/>
        <axId val="170531072"/>
        <axId val="1000"/>
      </bar3DChart>
      <catAx>
        <axId val="170529536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crossAx val="170531072"/>
        <crosses val="autoZero"/>
        <auto val="1"/>
        <lblAlgn val="ctr"/>
        <lblOffset val="100"/>
        <noMultiLvlLbl val="0"/>
      </catAx>
      <valAx>
        <axId val="170531072"/>
        <scaling>
          <orientation val="minMax"/>
        </scaling>
        <delete val="0"/>
        <axPos val="l"/>
        <majorGridlines/>
        <numFmt formatCode="_-[$$-409]* #,##0.00_ ;_-[$$-409]* \-#,##0.00\ ;_-[$$-409]* &quot;-&quot;??_ ;_-@_ " sourceLinked="1"/>
        <majorTickMark val="out"/>
        <minorTickMark val="none"/>
        <tickLblPos val="nextTo"/>
        <crossAx val="170529536"/>
        <crosses val="autoZero"/>
        <crossBetween val="between"/>
      </valAx>
      <serAx>
        <axId val="1000"/>
        <scaling>
          <orientation val="minMax"/>
        </scaling>
        <axPos val="l"/>
        <majorTickMark val="none"/>
        <minorTickMark val="none"/>
        <crossAx val="10"/>
      </ser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8.jpeg" Id="rId1"/><Relationship Type="http://schemas.openxmlformats.org/officeDocument/2006/relationships/image" Target="/xl/media/image9.png" Id="rId2"/></Relationships>
</file>

<file path=xl/drawings/_rels/drawing8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drawing1.xml><?xml version="1.0" encoding="utf-8"?>
<wsDr xmlns="http://schemas.openxmlformats.org/drawingml/2006/spreadsheetDrawing">
  <twoCellAnchor editAs="oneCell">
    <from>
      <col>10</col>
      <colOff>1098177</colOff>
      <row>0</row>
      <rowOff>283882</rowOff>
    </from>
    <to>
      <col>14</col>
      <colOff>301345</colOff>
      <row>0</row>
      <rowOff>1255432</rowOff>
    </to>
    <pic>
      <nvPicPr>
        <cNvPr id="2" name="Picture 1" descr="plexus wifi logo 600px x 100px3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5026902" y="283882"/>
          <a:ext cx="4965793" cy="9715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5</col>
      <colOff>666749</colOff>
      <row>1</row>
      <rowOff>160057</rowOff>
    </from>
    <to>
      <col>8</col>
      <colOff>177519</colOff>
      <row>2</row>
      <rowOff>367042</rowOff>
    </to>
    <pic>
      <nvPicPr>
        <cNvPr id="2" name="Picture 1" descr="plexus wifi logo 600px x 100px3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372349" y="160057"/>
          <a:ext cx="3825595" cy="74991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1238250</colOff>
      <row>3</row>
      <rowOff>95250</rowOff>
    </from>
    <to>
      <col>7</col>
      <colOff>860681</colOff>
      <row>5</row>
      <rowOff>146687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9382125" y="1257300"/>
          <a:ext cx="1060706" cy="82296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0</col>
      <colOff>285750</colOff>
      <row>2</row>
      <rowOff>71438</rowOff>
    </from>
    <to>
      <col>7</col>
      <colOff>71437</colOff>
      <row>8</row>
      <rowOff>80963</rowOff>
    </to>
    <pic>
      <nvPicPr>
        <cNvPr id="5" name="Picture 4" descr="plexus wifi logo 600px x 100px3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85750" y="404813"/>
          <a:ext cx="5048250" cy="10096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0</col>
      <colOff>0</colOff>
      <row>1</row>
      <rowOff>0</rowOff>
    </from>
    <to>
      <col>1</col>
      <colOff>147637</colOff>
      <row>3</row>
      <rowOff>120015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130969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0</col>
      <colOff>0</colOff>
      <row>1</row>
      <rowOff>0</rowOff>
    </from>
    <to>
      <col>1</col>
      <colOff>1004887</colOff>
      <row>3</row>
      <rowOff>120015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166688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0</col>
      <colOff>0</colOff>
      <row>1</row>
      <rowOff>0</rowOff>
    </from>
    <to>
      <col>0</col>
      <colOff>2028825</colOff>
      <row>2</row>
      <rowOff>242480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163286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twoCellAnchor editAs="oneCell">
    <from>
      <col>10</col>
      <colOff>28575</colOff>
      <row>0</row>
      <rowOff>19050</rowOff>
    </from>
    <to>
      <col>10</col>
      <colOff>727325</colOff>
      <row>4</row>
      <rowOff>96750</rowOff>
    </to>
    <pic>
      <nvPicPr>
        <cNvPr id="4" name="Picture 3" descr="CITY WIFI ZAMBIA logo 20142.jp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81675" y="19050"/>
          <a:ext cx="698750" cy="706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0</colOff>
      <row>1</row>
      <rowOff>0</rowOff>
    </from>
    <to>
      <col>1</col>
      <colOff>2028825</colOff>
      <row>3</row>
      <rowOff>96202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9063" y="190500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8.xml><?xml version="1.0" encoding="utf-8"?>
<wsDr xmlns="http://schemas.openxmlformats.org/drawingml/2006/spreadsheetDrawing">
  <twoCellAnchor editAs="oneCell">
    <from>
      <col>1</col>
      <colOff>0</colOff>
      <row>1</row>
      <rowOff>0</rowOff>
    </from>
    <to>
      <col>2</col>
      <colOff>441325</colOff>
      <row>3</row>
      <rowOff>88265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06375" y="158750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9.xml><?xml version="1.0" encoding="utf-8"?>
<wsDr xmlns="http://schemas.openxmlformats.org/drawingml/2006/spreadsheetDrawing">
  <twoCellAnchor editAs="oneCell">
    <from>
      <col>0</col>
      <colOff>0</colOff>
      <row>1</row>
      <rowOff>0</rowOff>
    </from>
    <to>
      <col>0</col>
      <colOff>2028825</colOff>
      <row>3</row>
      <rowOff>91440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161925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0.xml><?xml version="1.0" encoding="utf-8"?>
<wsDr xmlns="http://schemas.openxmlformats.org/drawingml/2006/spreadsheetDrawing">
  <twoCellAnchor>
    <from>
      <col>3</col>
      <colOff>447676</colOff>
      <row>0</row>
      <rowOff>71436</rowOff>
    </from>
    <to>
      <col>7</col>
      <colOff>314325</colOff>
      <row>12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7</col>
      <colOff>43623</colOff>
      <row>35</row>
      <rowOff>40821</rowOff>
    </from>
    <to>
      <col>13</col>
      <colOff>408214</colOff>
      <row>64</row>
      <rowOff>51708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914399</colOff>
      <row>103</row>
      <rowOff>21851</rowOff>
    </from>
    <to>
      <col>10</col>
      <colOff>78441</colOff>
      <row>125</row>
      <rowOff>67235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7</col>
      <colOff>190500</colOff>
      <row>129</row>
      <rowOff>4480</rowOff>
    </from>
    <to>
      <col>14</col>
      <colOff>358589</colOff>
      <row>161</row>
      <rowOff>123264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hyperlink" Target="http://www.plexuswifi.co.uk/" TargetMode="External" Id="rId1"/><Relationship Type="http://schemas.openxmlformats.org/officeDocument/2006/relationships/drawing" Target="/xl/drawings/drawing2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17"/>
  <sheetViews>
    <sheetView workbookViewId="0">
      <selection activeCell="A1" sqref="A1"/>
    </sheetView>
  </sheetViews>
  <sheetFormatPr baseColWidth="8" defaultRowHeight="15"/>
  <cols>
    <col width="55" customWidth="1" min="1" max="1"/>
    <col width="45" customWidth="1" min="2" max="2"/>
  </cols>
  <sheetData>
    <row r="1">
      <c r="A1" s="484" t="inlineStr">
        <is>
          <t>Childcare platform financial forecast, 5 year base case</t>
        </is>
      </c>
    </row>
    <row r="2"/>
    <row r="3">
      <c r="A3" s="485" t="inlineStr">
        <is>
          <t>Assumptions</t>
        </is>
      </c>
    </row>
    <row r="4"/>
    <row r="5">
      <c r="A5" s="486" t="inlineStr">
        <is>
          <t>Assumption</t>
        </is>
      </c>
      <c r="B5" s="486" t="inlineStr">
        <is>
          <t>Value</t>
        </is>
      </c>
    </row>
    <row r="6">
      <c r="A6" s="487" t="inlineStr">
        <is>
          <t>Pricing, pilot subscription per setting per month</t>
        </is>
      </c>
      <c r="B6" s="487" t="inlineStr">
        <is>
          <t>£99</t>
        </is>
      </c>
    </row>
    <row r="7">
      <c r="A7" s="487" t="inlineStr">
        <is>
          <t>Pricing, full subscription per setting per month</t>
        </is>
      </c>
      <c r="B7" s="487" t="inlineStr">
        <is>
          <t>£249</t>
        </is>
      </c>
    </row>
    <row r="8">
      <c r="A8" s="487" t="inlineStr">
        <is>
          <t>Annual plan pricing assumption</t>
        </is>
      </c>
      <c r="B8" s="487" t="inlineStr">
        <is>
          <t>Pay 10 months, get 2 months free</t>
        </is>
      </c>
    </row>
    <row r="9">
      <c r="A9" s="487" t="inlineStr">
        <is>
          <t>Annual plan share by year</t>
        </is>
      </c>
      <c r="B9" s="487" t="inlineStr">
        <is>
          <t>10%, 15%, 20%, 25%, 30%</t>
        </is>
      </c>
    </row>
    <row r="10">
      <c r="A10" s="487" t="inlineStr">
        <is>
          <t>Hourly charge to settings</t>
        </is>
      </c>
      <c r="B10" s="487" t="inlineStr">
        <is>
          <t>£22 per hour</t>
        </is>
      </c>
    </row>
    <row r="11">
      <c r="A11" s="487" t="inlineStr">
        <is>
          <t>Hourly pay to carers</t>
        </is>
      </c>
      <c r="B11" s="487" t="inlineStr">
        <is>
          <t>£15.50 per hour</t>
        </is>
      </c>
    </row>
    <row r="12">
      <c r="A12" s="487" t="inlineStr">
        <is>
          <t>Platform gross margin per hour</t>
        </is>
      </c>
      <c r="B12" s="487" t="inlineStr">
        <is>
          <t>£6.50 per hour</t>
        </is>
      </c>
    </row>
    <row r="13">
      <c r="A13" s="487" t="inlineStr">
        <is>
          <t>Stripe and payment fees assumption</t>
        </is>
      </c>
      <c r="B13" s="487" t="inlineStr">
        <is>
          <t>0.75% of total revenue</t>
        </is>
      </c>
    </row>
    <row r="14">
      <c r="A14" s="487" t="inlineStr">
        <is>
          <t>Rollout end of year settings</t>
        </is>
      </c>
      <c r="B14" s="487" t="inlineStr">
        <is>
          <t>Y1 50, Y2 350, Y3 1,500, Y4 8,000, Y5 30,000</t>
        </is>
      </c>
    </row>
    <row r="15">
      <c r="A15" s="487" t="inlineStr">
        <is>
          <t>Average hours per setting per month</t>
        </is>
      </c>
      <c r="B15" s="487" t="inlineStr">
        <is>
          <t>Y1 15, Y2 15, Y3 16, Y4 17, Y5 18</t>
        </is>
      </c>
    </row>
    <row r="16">
      <c r="A16" s="487" t="inlineStr">
        <is>
          <t>Pilot mix share</t>
        </is>
      </c>
      <c r="B16" s="487" t="inlineStr">
        <is>
          <t>Y1 50%, Y2 35%, Y3 25%, Y4 20%, Y5 15%</t>
        </is>
      </c>
    </row>
    <row r="17">
      <c r="A17" s="487" t="inlineStr">
        <is>
          <t>Operating costs</t>
        </is>
      </c>
      <c r="B17" s="487" t="inlineStr">
        <is>
          <t>Scaled annually for national growth, see forecast table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N17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8" customWidth="1" min="1" max="1"/>
    <col width="18" customWidth="1" min="2" max="2"/>
    <col width="14" customWidth="1" min="3" max="3"/>
    <col width="14" customWidth="1" min="4" max="4"/>
    <col width="29" customWidth="1" min="5" max="5"/>
    <col width="14" customWidth="1" min="6" max="6"/>
    <col width="22" customWidth="1" min="7" max="7"/>
    <col width="16" customWidth="1" min="8" max="8"/>
    <col width="15" customWidth="1" min="9" max="9"/>
    <col width="13" customWidth="1" min="10" max="10"/>
    <col width="19" customWidth="1" min="11" max="11"/>
    <col width="15" customWidth="1" min="12" max="12"/>
    <col width="17" customWidth="1" min="13" max="13"/>
    <col width="15" customWidth="1" min="14" max="14"/>
  </cols>
  <sheetData>
    <row r="1">
      <c r="A1" s="485" t="inlineStr">
        <is>
          <t>Five year forecast, annual totals</t>
        </is>
      </c>
    </row>
    <row r="2"/>
    <row r="3">
      <c r="A3" s="488" t="inlineStr">
        <is>
          <t>Year</t>
        </is>
      </c>
      <c r="B3" s="488" t="inlineStr">
        <is>
          <t>Start settings</t>
        </is>
      </c>
      <c r="C3" s="488" t="inlineStr">
        <is>
          <t>End settings</t>
        </is>
      </c>
      <c r="D3" s="488" t="inlineStr">
        <is>
          <t>Avg settings</t>
        </is>
      </c>
      <c r="E3" s="488" t="inlineStr">
        <is>
          <t>Hours per setting per month</t>
        </is>
      </c>
      <c r="F3" s="488" t="inlineStr">
        <is>
          <t>Annual hours</t>
        </is>
      </c>
      <c r="G3" s="488" t="inlineStr">
        <is>
          <t>Subscription revenue</t>
        </is>
      </c>
      <c r="H3" s="488" t="inlineStr">
        <is>
          <t>Hourly revenue</t>
        </is>
      </c>
      <c r="I3" s="488" t="inlineStr">
        <is>
          <t>Total revenue</t>
        </is>
      </c>
      <c r="J3" s="488" t="inlineStr">
        <is>
          <t>Carer costs</t>
        </is>
      </c>
      <c r="K3" s="488" t="inlineStr">
        <is>
          <t>Stripe fees</t>
        </is>
      </c>
      <c r="L3" s="488" t="inlineStr">
        <is>
          <t>Gross profit</t>
        </is>
      </c>
      <c r="M3" s="488" t="inlineStr">
        <is>
          <t>Operating costs</t>
        </is>
      </c>
      <c r="N3" s="488" t="inlineStr">
        <is>
          <t>EBITDA</t>
        </is>
      </c>
    </row>
    <row r="4">
      <c r="A4" s="489" t="n">
        <v>1</v>
      </c>
      <c r="B4" s="489" t="n">
        <v>20</v>
      </c>
      <c r="C4" s="489" t="n">
        <v>50</v>
      </c>
      <c r="D4" s="489" t="n">
        <v>35</v>
      </c>
      <c r="E4" s="490" t="n">
        <v>15</v>
      </c>
      <c r="F4" s="489" t="n">
        <v>6300</v>
      </c>
      <c r="G4" s="744" t="n">
        <v>71862</v>
      </c>
      <c r="H4" s="744" t="n">
        <v>138600</v>
      </c>
      <c r="I4" s="744" t="n">
        <v>210462</v>
      </c>
      <c r="J4" s="744" t="n">
        <v>97650</v>
      </c>
      <c r="K4" s="744" t="n">
        <v>1578.465</v>
      </c>
      <c r="L4" s="744" t="n">
        <v>111233.535</v>
      </c>
      <c r="M4" s="744" t="n">
        <v>36000</v>
      </c>
      <c r="N4" s="744" t="n">
        <v>75233.535</v>
      </c>
    </row>
    <row r="5">
      <c r="A5" s="489" t="n">
        <v>2</v>
      </c>
      <c r="B5" s="489" t="n">
        <v>50</v>
      </c>
      <c r="C5" s="489" t="n">
        <v>350</v>
      </c>
      <c r="D5" s="489" t="n">
        <v>200</v>
      </c>
      <c r="E5" s="490" t="n">
        <v>15</v>
      </c>
      <c r="F5" s="489" t="n">
        <v>36000</v>
      </c>
      <c r="G5" s="744" t="n">
        <v>459810</v>
      </c>
      <c r="H5" s="744" t="n">
        <v>792000</v>
      </c>
      <c r="I5" s="744" t="n">
        <v>1251810</v>
      </c>
      <c r="J5" s="744" t="n">
        <v>558000</v>
      </c>
      <c r="K5" s="744" t="n">
        <v>9388.574999999999</v>
      </c>
      <c r="L5" s="744" t="n">
        <v>684421.425</v>
      </c>
      <c r="M5" s="744" t="n">
        <v>120000</v>
      </c>
      <c r="N5" s="744" t="n">
        <v>564421.425</v>
      </c>
    </row>
    <row r="6">
      <c r="A6" s="489" t="n">
        <v>3</v>
      </c>
      <c r="B6" s="489" t="n">
        <v>350</v>
      </c>
      <c r="C6" s="489" t="n">
        <v>1500</v>
      </c>
      <c r="D6" s="489" t="n">
        <v>925</v>
      </c>
      <c r="E6" s="490" t="n">
        <v>16</v>
      </c>
      <c r="F6" s="489" t="n">
        <v>177600</v>
      </c>
      <c r="G6" s="744" t="n">
        <v>2269395</v>
      </c>
      <c r="H6" s="744" t="n">
        <v>3907200</v>
      </c>
      <c r="I6" s="744" t="n">
        <v>6176595</v>
      </c>
      <c r="J6" s="744" t="n">
        <v>2752800</v>
      </c>
      <c r="K6" s="744" t="n">
        <v>46324.4625</v>
      </c>
      <c r="L6" s="744" t="n">
        <v>3377470.5375</v>
      </c>
      <c r="M6" s="744" t="n">
        <v>360000</v>
      </c>
      <c r="N6" s="744" t="n">
        <v>3017470.5375</v>
      </c>
    </row>
    <row r="7">
      <c r="A7" s="489" t="n">
        <v>4</v>
      </c>
      <c r="B7" s="489" t="n">
        <v>1500</v>
      </c>
      <c r="C7" s="489" t="n">
        <v>8000</v>
      </c>
      <c r="D7" s="489" t="n">
        <v>4750</v>
      </c>
      <c r="E7" s="490" t="n">
        <v>17</v>
      </c>
      <c r="F7" s="489" t="n">
        <v>969000</v>
      </c>
      <c r="G7" s="744" t="n">
        <v>11962875</v>
      </c>
      <c r="H7" s="744" t="n">
        <v>21318000</v>
      </c>
      <c r="I7" s="744" t="n">
        <v>33280875</v>
      </c>
      <c r="J7" s="744" t="n">
        <v>15019500</v>
      </c>
      <c r="K7" s="744" t="n">
        <v>249606.5625</v>
      </c>
      <c r="L7" s="744" t="n">
        <v>18011768.4375</v>
      </c>
      <c r="M7" s="744" t="n">
        <v>1200000</v>
      </c>
      <c r="N7" s="744" t="n">
        <v>16811768.4375</v>
      </c>
    </row>
    <row r="8">
      <c r="A8" s="489" t="n">
        <v>5</v>
      </c>
      <c r="B8" s="489" t="n">
        <v>8000</v>
      </c>
      <c r="C8" s="489" t="n">
        <v>30000</v>
      </c>
      <c r="D8" s="489" t="n">
        <v>19000</v>
      </c>
      <c r="E8" s="490" t="n">
        <v>18</v>
      </c>
      <c r="F8" s="489" t="n">
        <v>4104000</v>
      </c>
      <c r="G8" s="744" t="n">
        <v>49059900</v>
      </c>
      <c r="H8" s="744" t="n">
        <v>90288000</v>
      </c>
      <c r="I8" s="744" t="n">
        <v>139347900</v>
      </c>
      <c r="J8" s="744" t="n">
        <v>63612000</v>
      </c>
      <c r="K8" s="744" t="n">
        <v>1045109.25</v>
      </c>
      <c r="L8" s="744" t="n">
        <v>74690790.75</v>
      </c>
      <c r="M8" s="744" t="n">
        <v>4200000</v>
      </c>
      <c r="N8" s="744" t="n">
        <v>70490790.75</v>
      </c>
    </row>
    <row r="9"/>
    <row r="10"/>
    <row r="11">
      <c r="A11" s="485" t="inlineStr">
        <is>
          <t>Key year 5 outputs</t>
        </is>
      </c>
    </row>
    <row r="12"/>
    <row r="13">
      <c r="A13" s="492" t="inlineStr">
        <is>
          <t>End settings</t>
        </is>
      </c>
      <c r="B13" s="493" t="n">
        <v>30000</v>
      </c>
    </row>
    <row r="14">
      <c r="A14" s="492" t="inlineStr">
        <is>
          <t>Average settings</t>
        </is>
      </c>
      <c r="B14" s="493" t="n">
        <v>19000</v>
      </c>
    </row>
    <row r="15">
      <c r="A15" s="492" t="inlineStr">
        <is>
          <t>Total revenue</t>
        </is>
      </c>
      <c r="B15" s="745" t="n">
        <v>139347900</v>
      </c>
    </row>
    <row r="16">
      <c r="A16" s="492" t="inlineStr">
        <is>
          <t>EBITDA</t>
        </is>
      </c>
      <c r="B16" s="745" t="n">
        <v>70490790.75</v>
      </c>
    </row>
    <row r="17">
      <c r="A17" s="492" t="inlineStr">
        <is>
          <t>Annual hours</t>
        </is>
      </c>
      <c r="B17" s="493" t="n">
        <v>4104000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13"/>
  <sheetViews>
    <sheetView workbookViewId="0">
      <selection activeCell="A1" sqref="A1"/>
    </sheetView>
  </sheetViews>
  <sheetFormatPr baseColWidth="8" defaultRowHeight="15"/>
  <cols>
    <col width="12" customWidth="1" min="1" max="1"/>
    <col width="22" customWidth="1" min="2" max="2"/>
    <col width="23" customWidth="1" min="3" max="3"/>
    <col width="24" customWidth="1" min="4" max="4"/>
    <col width="25" customWidth="1" min="5" max="5"/>
    <col width="21" customWidth="1" min="6" max="6"/>
    <col width="22" customWidth="1" min="7" max="7"/>
    <col width="23" customWidth="1" min="8" max="8"/>
    <col width="24" customWidth="1" min="9" max="9"/>
  </cols>
  <sheetData>
    <row r="1">
      <c r="A1" s="485" t="inlineStr">
        <is>
          <t>Illustrative market cap ranges</t>
        </is>
      </c>
    </row>
    <row r="2"/>
    <row r="3">
      <c r="A3" s="488" t="inlineStr">
        <is>
          <t>Year</t>
        </is>
      </c>
      <c r="B3" s="488" t="inlineStr">
        <is>
          <t>Revenue multiple low</t>
        </is>
      </c>
      <c r="C3" s="488" t="inlineStr">
        <is>
          <t>Revenue multiple high</t>
        </is>
      </c>
      <c r="D3" s="488" t="inlineStr">
        <is>
          <t>Market cap revenue low</t>
        </is>
      </c>
      <c r="E3" s="488" t="inlineStr">
        <is>
          <t>Market cap revenue high</t>
        </is>
      </c>
      <c r="F3" s="488" t="inlineStr">
        <is>
          <t>EBITDA multiple low</t>
        </is>
      </c>
      <c r="G3" s="488" t="inlineStr">
        <is>
          <t>EBITDA multiple high</t>
        </is>
      </c>
      <c r="H3" s="488" t="inlineStr">
        <is>
          <t>Market cap EBITDA low</t>
        </is>
      </c>
      <c r="I3" s="488" t="inlineStr">
        <is>
          <t>Market cap EBITDA high</t>
        </is>
      </c>
    </row>
    <row r="4">
      <c r="A4" s="489" t="n">
        <v>1</v>
      </c>
      <c r="B4" s="495" t="n">
        <v>4</v>
      </c>
      <c r="C4" s="495" t="n">
        <v>7</v>
      </c>
      <c r="D4" s="744" t="n">
        <v>841848</v>
      </c>
      <c r="E4" s="744" t="n">
        <v>1473234</v>
      </c>
      <c r="F4" s="495" t="n">
        <v>8</v>
      </c>
      <c r="G4" s="495" t="n">
        <v>12</v>
      </c>
      <c r="H4" s="744" t="n">
        <v>601868.28</v>
      </c>
      <c r="I4" s="744" t="n">
        <v>902802.42</v>
      </c>
    </row>
    <row r="5">
      <c r="A5" s="489" t="n">
        <v>2</v>
      </c>
      <c r="B5" s="495" t="n">
        <v>4</v>
      </c>
      <c r="C5" s="495" t="n">
        <v>7</v>
      </c>
      <c r="D5" s="744" t="n">
        <v>5007240</v>
      </c>
      <c r="E5" s="744" t="n">
        <v>8762670</v>
      </c>
      <c r="F5" s="495" t="n">
        <v>8</v>
      </c>
      <c r="G5" s="495" t="n">
        <v>12</v>
      </c>
      <c r="H5" s="744" t="n">
        <v>4515371.4</v>
      </c>
      <c r="I5" s="744" t="n">
        <v>6773057.100000001</v>
      </c>
    </row>
    <row r="6">
      <c r="A6" s="489" t="n">
        <v>3</v>
      </c>
      <c r="B6" s="495" t="n">
        <v>5</v>
      </c>
      <c r="C6" s="495" t="n">
        <v>9</v>
      </c>
      <c r="D6" s="744" t="n">
        <v>30882975</v>
      </c>
      <c r="E6" s="744" t="n">
        <v>55589355</v>
      </c>
      <c r="F6" s="495" t="n">
        <v>10</v>
      </c>
      <c r="G6" s="495" t="n">
        <v>14</v>
      </c>
      <c r="H6" s="744" t="n">
        <v>30174705.375</v>
      </c>
      <c r="I6" s="744" t="n">
        <v>42244587.525</v>
      </c>
    </row>
    <row r="7">
      <c r="A7" s="489" t="n">
        <v>4</v>
      </c>
      <c r="B7" s="495" t="n">
        <v>6</v>
      </c>
      <c r="C7" s="495" t="n">
        <v>12</v>
      </c>
      <c r="D7" s="744" t="n">
        <v>199685250</v>
      </c>
      <c r="E7" s="744" t="n">
        <v>399370500</v>
      </c>
      <c r="F7" s="495" t="n">
        <v>10</v>
      </c>
      <c r="G7" s="495" t="n">
        <v>16</v>
      </c>
      <c r="H7" s="744" t="n">
        <v>168117684.375</v>
      </c>
      <c r="I7" s="744" t="n">
        <v>268988295</v>
      </c>
    </row>
    <row r="8">
      <c r="A8" s="489" t="n">
        <v>5</v>
      </c>
      <c r="B8" s="495" t="n">
        <v>6</v>
      </c>
      <c r="C8" s="495" t="n">
        <v>12</v>
      </c>
      <c r="D8" s="744" t="n">
        <v>836087400</v>
      </c>
      <c r="E8" s="744" t="n">
        <v>1672174800</v>
      </c>
      <c r="F8" s="495" t="n">
        <v>10</v>
      </c>
      <c r="G8" s="495" t="n">
        <v>16</v>
      </c>
      <c r="H8" s="744" t="n">
        <v>704907907.5</v>
      </c>
      <c r="I8" s="744" t="n">
        <v>1127852652</v>
      </c>
    </row>
    <row r="9"/>
    <row r="10"/>
    <row r="11"/>
    <row r="12">
      <c r="A12" s="496" t="inlineStr">
        <is>
          <t>Notes</t>
        </is>
      </c>
    </row>
    <row r="13">
      <c r="A13" t="inlineStr">
        <is>
          <t>These valuation ranges are illustrative only. Multiples vary with growth, retention, margin quality, and market conditions.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5"/>
  <sheetViews>
    <sheetView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484" t="inlineStr">
        <is>
          <t>Notes and next steps</t>
        </is>
      </c>
    </row>
    <row r="3">
      <c r="A3" s="383" t="inlineStr">
        <is>
          <t>Definition used for settings: Ofsted registered early years providers on non domestic premises, plus any additional segments you choose to include later.</t>
        </is>
      </c>
    </row>
    <row r="4">
      <c r="A4" s="383" t="inlineStr">
        <is>
          <t>This workbook keeps the original template sheets intact and adds dedicated childcare forecast sheets.</t>
        </is>
      </c>
    </row>
    <row r="5">
      <c r="A5" s="383" t="inlineStr">
        <is>
          <t>If you want the forecast to drive the existing PnL, cash flow, and graphs automatically, we can map these assumptions into the template journal and trial balance structure next.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1:M213"/>
  <sheetViews>
    <sheetView tabSelected="1" view="pageBreakPreview" zoomScale="175" zoomScaleNormal="100" zoomScaleSheetLayoutView="175" workbookViewId="0">
      <pane ySplit="3" topLeftCell="A4" activePane="bottomLeft" state="frozen"/>
      <selection pane="bottomLeft" activeCell="E12" sqref="E12"/>
    </sheetView>
  </sheetViews>
  <sheetFormatPr baseColWidth="8" defaultColWidth="9.140625" defaultRowHeight="12.75"/>
  <cols>
    <col width="33.7109375" customWidth="1" style="85" min="1" max="1"/>
    <col width="31.140625" bestFit="1" customWidth="1" style="85" min="2" max="2"/>
    <col width="10" customWidth="1" style="85" min="3" max="3"/>
    <col width="3" customWidth="1" style="85" min="4" max="4"/>
    <col width="11.7109375" customWidth="1" style="497" min="5" max="5"/>
    <col width="11.7109375" bestFit="1" customWidth="1" style="85" min="6" max="6"/>
    <col width="12.28515625" customWidth="1" style="85" min="7" max="7"/>
    <col width="12.42578125" customWidth="1" style="85" min="8" max="8"/>
    <col width="13.28515625" customWidth="1" style="85" min="9" max="9"/>
    <col width="3" customWidth="1" style="85" min="10" max="10"/>
    <col width="9.140625" customWidth="1" style="85" min="11" max="11"/>
    <col width="11" bestFit="1" customWidth="1" style="85" min="12" max="13"/>
    <col width="9.140625" customWidth="1" style="85" min="14" max="16384"/>
  </cols>
  <sheetData>
    <row r="1">
      <c r="A1" s="91" t="inlineStr">
        <is>
          <t>Assumptions</t>
        </is>
      </c>
      <c r="C1" s="91" t="n"/>
      <c r="D1" s="91" t="n"/>
      <c r="H1" s="91" t="n"/>
      <c r="I1" s="91" t="n"/>
    </row>
    <row r="2">
      <c r="A2" s="91" t="n"/>
      <c r="B2" s="91" t="n"/>
      <c r="C2" s="91" t="n"/>
      <c r="D2" s="91" t="n"/>
      <c r="E2" s="93" t="n"/>
      <c r="F2" s="93" t="n"/>
      <c r="G2" s="93" t="n"/>
      <c r="H2" s="91" t="n"/>
      <c r="I2" s="91" t="n"/>
    </row>
    <row r="3">
      <c r="A3" s="91" t="inlineStr">
        <is>
          <t>Expense</t>
        </is>
      </c>
      <c r="B3" s="91" t="inlineStr">
        <is>
          <t>Notes</t>
        </is>
      </c>
      <c r="C3" s="93" t="inlineStr">
        <is>
          <t>Monthly</t>
        </is>
      </c>
      <c r="D3" s="91" t="n"/>
      <c r="E3" s="93" t="inlineStr">
        <is>
          <t>Annual 1</t>
        </is>
      </c>
      <c r="F3" s="93" t="inlineStr">
        <is>
          <t>Annual 2</t>
        </is>
      </c>
      <c r="G3" s="93" t="inlineStr">
        <is>
          <t>Annual 3</t>
        </is>
      </c>
      <c r="H3" s="93" t="inlineStr">
        <is>
          <t>Annual 4</t>
        </is>
      </c>
      <c r="I3" s="93" t="inlineStr">
        <is>
          <t>Annual 5</t>
        </is>
      </c>
    </row>
    <row r="4">
      <c r="A4" s="91" t="inlineStr">
        <is>
          <t>Start up Budget</t>
        </is>
      </c>
      <c r="E4" s="85" t="n"/>
      <c r="H4" s="93" t="n"/>
      <c r="I4" s="93" t="n"/>
    </row>
    <row r="5">
      <c r="A5" s="93" t="inlineStr">
        <is>
          <t>ITEM</t>
        </is>
      </c>
      <c r="B5" s="93" t="inlineStr">
        <is>
          <t>QTY</t>
        </is>
      </c>
      <c r="E5" s="93" t="inlineStr">
        <is>
          <t>COST</t>
        </is>
      </c>
      <c r="F5" s="93" t="n"/>
      <c r="G5" s="93" t="n"/>
      <c r="H5" s="93" t="n"/>
      <c r="I5" s="93" t="n"/>
    </row>
    <row r="6">
      <c r="A6" s="87" t="inlineStr">
        <is>
          <t>Nodes (including solar power)</t>
        </is>
      </c>
      <c r="B6" s="112" t="n">
        <v>10000</v>
      </c>
      <c r="C6" s="87" t="n"/>
      <c r="E6" s="498" t="n">
        <v>6000000</v>
      </c>
      <c r="F6" s="498" t="n"/>
      <c r="G6" s="498" t="n"/>
      <c r="H6" s="498" t="n"/>
      <c r="I6" s="498" t="n"/>
    </row>
    <row r="7">
      <c r="A7" s="87" t="inlineStr">
        <is>
          <t>Weatherproof casing and fixings</t>
        </is>
      </c>
      <c r="B7" s="112" t="n">
        <v>10000</v>
      </c>
      <c r="C7" s="87" t="n"/>
      <c r="E7" s="498" t="n">
        <v>1000000</v>
      </c>
      <c r="F7" s="498" t="n"/>
      <c r="G7" s="498" t="n"/>
      <c r="H7" s="498" t="n"/>
      <c r="I7" s="498" t="n"/>
    </row>
    <row r="8">
      <c r="A8" s="87" t="inlineStr">
        <is>
          <t xml:space="preserve">Tech Installation &amp; Configuration </t>
        </is>
      </c>
      <c r="B8" s="112" t="inlineStr">
        <is>
          <t>31 (days)</t>
        </is>
      </c>
      <c r="C8" s="87" t="n"/>
      <c r="E8" s="498" t="n">
        <v>475000</v>
      </c>
      <c r="F8" s="498" t="n"/>
      <c r="G8" s="498" t="n"/>
      <c r="H8" s="498" t="n"/>
      <c r="I8" s="498" t="n"/>
    </row>
    <row r="9">
      <c r="A9" s="87" t="inlineStr">
        <is>
          <t>IPTV, VOIP and Data Network system</t>
        </is>
      </c>
      <c r="B9" s="112" t="n">
        <v>1</v>
      </c>
      <c r="C9" s="87" t="n"/>
      <c r="E9" s="498" t="n">
        <v>450000</v>
      </c>
      <c r="F9" s="498" t="n"/>
      <c r="G9" s="498" t="n"/>
      <c r="H9" s="498" t="n"/>
      <c r="I9" s="498" t="n"/>
    </row>
    <row r="10">
      <c r="A10" s="87" t="inlineStr">
        <is>
          <t>Data Offloading and backhaul system</t>
        </is>
      </c>
      <c r="B10" s="112" t="n">
        <v>1</v>
      </c>
      <c r="C10" s="87" t="n"/>
      <c r="E10" s="498" t="n">
        <v>348000</v>
      </c>
      <c r="F10" s="498" t="n"/>
      <c r="G10" s="498" t="n"/>
      <c r="H10" s="498" t="n"/>
      <c r="I10" s="498" t="n"/>
    </row>
    <row r="11">
      <c r="A11" s="87" t="inlineStr">
        <is>
          <t>CCTV system inc cameras, servers &amp; screens</t>
        </is>
      </c>
      <c r="B11" s="112" t="n">
        <v>1</v>
      </c>
      <c r="C11" s="87" t="n"/>
      <c r="E11" s="498" t="n">
        <v>379774</v>
      </c>
      <c r="F11" s="498" t="n"/>
      <c r="G11" s="498" t="n"/>
      <c r="H11" s="498" t="n"/>
      <c r="I11" s="498" t="n"/>
    </row>
    <row r="12">
      <c r="A12" s="87" t="inlineStr">
        <is>
          <t>Nano M5s</t>
        </is>
      </c>
      <c r="B12" s="112" t="n">
        <v>8000</v>
      </c>
      <c r="C12" s="87" t="n"/>
      <c r="E12" s="498">
        <f>SUM(106.19*B12)</f>
        <v/>
      </c>
      <c r="F12" s="498" t="n"/>
      <c r="G12" s="498" t="n"/>
      <c r="H12" s="498" t="n"/>
      <c r="I12" s="498" t="n"/>
    </row>
    <row r="13">
      <c r="A13" s="87" t="inlineStr">
        <is>
          <t>Base station and substation servers</t>
        </is>
      </c>
      <c r="B13" s="112" t="n">
        <v>802</v>
      </c>
      <c r="C13" s="87" t="n"/>
      <c r="E13" s="498">
        <f>SUM(B13*5336)</f>
        <v/>
      </c>
      <c r="F13" s="498" t="n"/>
      <c r="G13" s="498" t="n"/>
      <c r="H13" s="498" t="n"/>
      <c r="I13" s="498" t="n"/>
    </row>
    <row r="14">
      <c r="A14" s="87" t="inlineStr">
        <is>
          <t>Vehicles</t>
        </is>
      </c>
      <c r="B14" s="112" t="n">
        <v>12</v>
      </c>
      <c r="C14" s="87" t="n"/>
      <c r="E14" s="498" t="n">
        <v>250000</v>
      </c>
      <c r="F14" s="498" t="n"/>
      <c r="G14" s="498" t="n"/>
      <c r="H14" s="498" t="n"/>
      <c r="I14" s="498" t="n"/>
    </row>
    <row r="15">
      <c r="A15" s="87" t="inlineStr">
        <is>
          <t>Base station kiosk</t>
        </is>
      </c>
      <c r="B15" s="112" t="n">
        <v>1175</v>
      </c>
      <c r="C15" s="87" t="n"/>
      <c r="E15" s="498">
        <f>SUM(B15*1000)</f>
        <v/>
      </c>
      <c r="F15" s="498" t="n"/>
      <c r="G15" s="498" t="n"/>
      <c r="H15" s="498" t="n"/>
      <c r="I15" s="498" t="n"/>
    </row>
    <row r="16">
      <c r="A16" s="87" t="inlineStr">
        <is>
          <t>10 Gbps  Fibre backhaul install and 1st month</t>
        </is>
      </c>
      <c r="B16" s="112" t="n"/>
      <c r="C16" s="87" t="n"/>
      <c r="E16" s="498" t="n">
        <v>677350</v>
      </c>
      <c r="F16" s="498" t="n"/>
      <c r="G16" s="498" t="n"/>
      <c r="H16" s="498" t="n"/>
      <c r="I16" s="498" t="n"/>
    </row>
    <row r="17">
      <c r="A17" s="87" t="inlineStr">
        <is>
          <t>Licensing</t>
        </is>
      </c>
      <c r="B17" s="112" t="n">
        <v>1</v>
      </c>
      <c r="C17" s="87" t="n"/>
      <c r="E17" s="498" t="n">
        <v>54000</v>
      </c>
      <c r="F17" s="498" t="n"/>
      <c r="G17" s="498" t="n"/>
      <c r="H17" s="498" t="n"/>
      <c r="I17" s="498" t="n"/>
    </row>
    <row r="18">
      <c r="A18" s="87" t="inlineStr">
        <is>
          <t>Marketing</t>
        </is>
      </c>
      <c r="B18" s="112" t="n">
        <v>1</v>
      </c>
      <c r="C18" s="87" t="n"/>
      <c r="E18" s="498">
        <f>E32</f>
        <v/>
      </c>
      <c r="F18" s="498" t="n"/>
      <c r="G18" s="498" t="n"/>
      <c r="H18" s="498" t="n"/>
      <c r="I18" s="498" t="n"/>
    </row>
    <row r="19">
      <c r="A19" s="91" t="inlineStr">
        <is>
          <t>TOTAL</t>
        </is>
      </c>
      <c r="E19" s="499">
        <f>SUM(E6:E18)</f>
        <v/>
      </c>
      <c r="F19" s="499" t="n"/>
      <c r="G19" s="499" t="n"/>
      <c r="H19" s="499" t="n"/>
      <c r="I19" s="499" t="n"/>
    </row>
    <row r="20">
      <c r="E20" s="85" t="n"/>
    </row>
    <row r="21">
      <c r="A21" s="91" t="inlineStr">
        <is>
          <t>Marketing Breakdown (Start up)</t>
        </is>
      </c>
      <c r="E21" s="498" t="n"/>
      <c r="F21" s="498" t="n"/>
      <c r="G21" s="498" t="n"/>
      <c r="H21" s="498" t="n"/>
      <c r="I21" s="498" t="n"/>
    </row>
    <row r="22">
      <c r="A22" s="85" t="inlineStr">
        <is>
          <t>TV adverts</t>
        </is>
      </c>
      <c r="E22" s="498" t="n">
        <v>600000</v>
      </c>
      <c r="F22" s="498">
        <f>E22*1</f>
        <v/>
      </c>
      <c r="G22" s="498">
        <f>F22*1</f>
        <v/>
      </c>
      <c r="H22" s="498">
        <f>G22*1</f>
        <v/>
      </c>
      <c r="I22" s="498">
        <f>H22*1</f>
        <v/>
      </c>
    </row>
    <row r="23">
      <c r="A23" s="87" t="inlineStr">
        <is>
          <t>Radio</t>
        </is>
      </c>
      <c r="E23" s="498" t="n">
        <v>675000</v>
      </c>
      <c r="F23" s="498">
        <f>E23*1</f>
        <v/>
      </c>
      <c r="G23" s="498">
        <f>F23*1</f>
        <v/>
      </c>
      <c r="H23" s="498">
        <f>G23*1</f>
        <v/>
      </c>
      <c r="I23" s="498">
        <f>H23*1</f>
        <v/>
      </c>
    </row>
    <row r="24">
      <c r="A24" s="87" t="inlineStr">
        <is>
          <t>Newspaper</t>
        </is>
      </c>
      <c r="E24" s="498" t="n">
        <v>250000</v>
      </c>
      <c r="F24" s="498">
        <f>E24*1</f>
        <v/>
      </c>
      <c r="G24" s="498">
        <f>F24*1</f>
        <v/>
      </c>
      <c r="H24" s="498">
        <f>G24*1</f>
        <v/>
      </c>
      <c r="I24" s="498">
        <f>H24*1</f>
        <v/>
      </c>
    </row>
    <row r="25">
      <c r="A25" s="87" t="inlineStr">
        <is>
          <t>Posters</t>
        </is>
      </c>
      <c r="E25" s="498" t="n">
        <v>300000</v>
      </c>
      <c r="F25" s="498">
        <f>E25*1</f>
        <v/>
      </c>
      <c r="G25" s="498">
        <f>F25*1</f>
        <v/>
      </c>
      <c r="H25" s="498">
        <f>G25*1</f>
        <v/>
      </c>
      <c r="I25" s="498">
        <f>H25*1</f>
        <v/>
      </c>
    </row>
    <row r="26">
      <c r="A26" s="87" t="inlineStr">
        <is>
          <t>Billboards</t>
        </is>
      </c>
      <c r="E26" s="498" t="n">
        <v>650000</v>
      </c>
      <c r="F26" s="498">
        <f>E26*1</f>
        <v/>
      </c>
      <c r="G26" s="498">
        <f>F26*1</f>
        <v/>
      </c>
      <c r="H26" s="498">
        <f>G26*1</f>
        <v/>
      </c>
      <c r="I26" s="498">
        <f>H26*1</f>
        <v/>
      </c>
    </row>
    <row r="27">
      <c r="A27" s="87" t="inlineStr">
        <is>
          <t>Flyerers</t>
        </is>
      </c>
      <c r="E27" s="498" t="n">
        <v>50000</v>
      </c>
      <c r="F27" s="498">
        <f>E27*1</f>
        <v/>
      </c>
      <c r="G27" s="498">
        <f>F27*1</f>
        <v/>
      </c>
      <c r="H27" s="498">
        <f>G27*1</f>
        <v/>
      </c>
      <c r="I27" s="498">
        <f>H27*1</f>
        <v/>
      </c>
    </row>
    <row r="28">
      <c r="A28" s="87" t="inlineStr">
        <is>
          <t>Web</t>
        </is>
      </c>
      <c r="E28" s="498" t="n">
        <v>400000</v>
      </c>
      <c r="F28" s="498">
        <f>E28*1</f>
        <v/>
      </c>
      <c r="G28" s="498">
        <f>F28*1</f>
        <v/>
      </c>
      <c r="H28" s="498">
        <f>G28*1</f>
        <v/>
      </c>
      <c r="I28" s="498">
        <f>H28*1</f>
        <v/>
      </c>
    </row>
    <row r="29">
      <c r="A29" s="87" t="inlineStr">
        <is>
          <t>Stickers</t>
        </is>
      </c>
      <c r="E29" s="498" t="n">
        <v>120000</v>
      </c>
      <c r="F29" s="498">
        <f>E29*1</f>
        <v/>
      </c>
      <c r="G29" s="498">
        <f>F29*1</f>
        <v/>
      </c>
      <c r="H29" s="498">
        <f>G29*1</f>
        <v/>
      </c>
      <c r="I29" s="498">
        <f>H29*1</f>
        <v/>
      </c>
    </row>
    <row r="30">
      <c r="A30" s="87" t="inlineStr">
        <is>
          <t>Campaign Management</t>
        </is>
      </c>
      <c r="E30" s="498" t="n">
        <v>400000</v>
      </c>
      <c r="F30" s="498">
        <f>E30*1</f>
        <v/>
      </c>
      <c r="G30" s="498">
        <f>F30*1</f>
        <v/>
      </c>
      <c r="H30" s="498">
        <f>G30*1</f>
        <v/>
      </c>
      <c r="I30" s="498">
        <f>H30*1</f>
        <v/>
      </c>
    </row>
    <row r="31">
      <c r="A31" s="91" t="n"/>
      <c r="B31" s="91" t="n"/>
      <c r="C31" s="93" t="n"/>
      <c r="D31" s="91" t="n"/>
      <c r="E31" s="93" t="n"/>
      <c r="F31" s="500" t="n"/>
      <c r="G31" s="93" t="n"/>
      <c r="H31" s="93" t="n"/>
      <c r="I31" s="93" t="n"/>
    </row>
    <row r="32">
      <c r="A32" s="91" t="inlineStr">
        <is>
          <t>Marketing</t>
        </is>
      </c>
      <c r="B32" s="87" t="inlineStr">
        <is>
          <t>TV, Radio, Web and print</t>
        </is>
      </c>
      <c r="C32" s="498">
        <f>E32/12</f>
        <v/>
      </c>
      <c r="E32" s="498">
        <f>SUM(E22:E30)</f>
        <v/>
      </c>
      <c r="F32" s="498">
        <f>SUM(F22:F30)</f>
        <v/>
      </c>
      <c r="G32" s="498">
        <f>SUM(G22:G30)</f>
        <v/>
      </c>
      <c r="H32" s="498">
        <f>SUM(H22:H30)</f>
        <v/>
      </c>
      <c r="I32" s="498">
        <f>SUM(I22:I30)</f>
        <v/>
      </c>
    </row>
    <row r="33">
      <c r="A33" s="87" t="n"/>
      <c r="E33" s="498" t="n"/>
      <c r="F33" s="498" t="n"/>
      <c r="G33" s="498" t="n"/>
      <c r="H33" s="498" t="n"/>
      <c r="I33" s="498" t="n"/>
    </row>
    <row r="34">
      <c r="A34" s="91" t="inlineStr">
        <is>
          <t>Airtime Vouchers</t>
        </is>
      </c>
      <c r="B34" s="86" t="inlineStr">
        <is>
          <t>$0.04 per voucher for printing &amp; shipping</t>
        </is>
      </c>
      <c r="C34" s="501" t="n">
        <v>0.04</v>
      </c>
      <c r="D34" s="91" t="n"/>
      <c r="E34" s="501">
        <f>SUM(C34*500000)</f>
        <v/>
      </c>
      <c r="F34" s="501">
        <f>SUM(C34*500000)</f>
        <v/>
      </c>
      <c r="G34" s="501">
        <f>SUM(C34*500000)</f>
        <v/>
      </c>
      <c r="H34" s="501">
        <f>SUM(C34*500000)</f>
        <v/>
      </c>
      <c r="I34" s="501">
        <f>SUM(C34*500000)</f>
        <v/>
      </c>
    </row>
    <row r="35">
      <c r="A35" s="91" t="n"/>
      <c r="B35" s="93" t="n"/>
      <c r="C35" s="93" t="n"/>
      <c r="D35" s="91" t="n"/>
      <c r="E35" s="93" t="n"/>
      <c r="F35" s="93" t="n"/>
      <c r="G35" s="93" t="n"/>
      <c r="H35" s="91" t="n"/>
      <c r="I35" s="91" t="n"/>
    </row>
    <row r="36">
      <c r="A36" s="91" t="inlineStr">
        <is>
          <t>Kiosk &amp; Logistics</t>
        </is>
      </c>
      <c r="B36" s="85" t="n">
        <v>15</v>
      </c>
      <c r="C36" s="498" t="n">
        <v>7000</v>
      </c>
      <c r="E36" s="498">
        <f>C36*12</f>
        <v/>
      </c>
      <c r="F36" s="498">
        <f>E36*1.7</f>
        <v/>
      </c>
      <c r="G36" s="498">
        <f>F36*1.7</f>
        <v/>
      </c>
      <c r="H36" s="498">
        <f>G36*1.7</f>
        <v/>
      </c>
      <c r="I36" s="498">
        <f>H36*1.7</f>
        <v/>
      </c>
    </row>
    <row r="37">
      <c r="A37" s="87" t="n"/>
      <c r="C37" s="498" t="n"/>
      <c r="E37" s="498" t="n"/>
      <c r="F37" s="498" t="n"/>
      <c r="G37" s="498" t="n"/>
      <c r="H37" s="498" t="n"/>
      <c r="I37" s="498" t="n"/>
    </row>
    <row r="38">
      <c r="A38" s="91" t="inlineStr">
        <is>
          <t>Customer Service</t>
        </is>
      </c>
      <c r="C38" s="498" t="n">
        <v>4000</v>
      </c>
      <c r="E38" s="498">
        <f>C38*12</f>
        <v/>
      </c>
      <c r="F38" s="498">
        <f>E38*1.2</f>
        <v/>
      </c>
      <c r="G38" s="498">
        <f>F38*1.2</f>
        <v/>
      </c>
      <c r="H38" s="498">
        <f>G38*1.2</f>
        <v/>
      </c>
      <c r="I38" s="498">
        <f>H38*1.2</f>
        <v/>
      </c>
    </row>
    <row r="39">
      <c r="A39" s="87" t="n"/>
      <c r="C39" s="498" t="n"/>
      <c r="E39" s="498" t="n"/>
    </row>
    <row r="40">
      <c r="A40" s="91" t="inlineStr">
        <is>
          <t>Salaries</t>
        </is>
      </c>
    </row>
    <row r="41">
      <c r="A41" s="86" t="inlineStr">
        <is>
          <t>Managing Director</t>
        </is>
      </c>
      <c r="B41" s="85" t="n">
        <v>1</v>
      </c>
      <c r="C41" s="498" t="n">
        <v>8000</v>
      </c>
      <c r="E41" s="502">
        <f>C41*12</f>
        <v/>
      </c>
      <c r="F41" s="498">
        <f>E41*1.08</f>
        <v/>
      </c>
      <c r="G41" s="498">
        <f>F41*1.08</f>
        <v/>
      </c>
      <c r="H41" s="498">
        <f>G41*1.08</f>
        <v/>
      </c>
      <c r="I41" s="498">
        <f>H41*1.08</f>
        <v/>
      </c>
      <c r="K41" s="503" t="n"/>
      <c r="L41" s="504" t="n"/>
      <c r="M41" s="504" t="n"/>
    </row>
    <row r="42">
      <c r="A42" s="86" t="inlineStr">
        <is>
          <t>Technical Director</t>
        </is>
      </c>
      <c r="B42" s="85" t="n">
        <v>1</v>
      </c>
      <c r="C42" s="498" t="n">
        <v>7000</v>
      </c>
      <c r="E42" s="502">
        <f>C42*12</f>
        <v/>
      </c>
      <c r="F42" s="498">
        <f>E42*1.08</f>
        <v/>
      </c>
      <c r="G42" s="498">
        <f>F42*1.08</f>
        <v/>
      </c>
      <c r="H42" s="498">
        <f>G42*1.08</f>
        <v/>
      </c>
      <c r="I42" s="498">
        <f>H42*1.08</f>
        <v/>
      </c>
      <c r="K42" s="503" t="n"/>
      <c r="L42" s="504" t="n"/>
      <c r="M42" s="504" t="n"/>
    </row>
    <row r="43">
      <c r="A43" s="86" t="inlineStr">
        <is>
          <t xml:space="preserve">Director of Marketing </t>
        </is>
      </c>
      <c r="B43" s="85" t="n">
        <v>1</v>
      </c>
      <c r="C43" s="498" t="n">
        <v>5500</v>
      </c>
      <c r="E43" s="502">
        <f>C43*12</f>
        <v/>
      </c>
      <c r="F43" s="498">
        <f>E43*1.08</f>
        <v/>
      </c>
      <c r="G43" s="498">
        <f>F43*1.08</f>
        <v/>
      </c>
      <c r="H43" s="498">
        <f>G43*1.08</f>
        <v/>
      </c>
      <c r="I43" s="498">
        <f>H43*1.08</f>
        <v/>
      </c>
      <c r="K43" s="503" t="n"/>
      <c r="L43" s="504" t="n"/>
      <c r="M43" s="504" t="n"/>
    </row>
    <row r="44">
      <c r="A44" s="86" t="inlineStr">
        <is>
          <t>Chief Finance</t>
        </is>
      </c>
      <c r="B44" s="85" t="n">
        <v>1</v>
      </c>
      <c r="C44" s="498" t="n">
        <v>6000</v>
      </c>
      <c r="E44" s="502">
        <f>C44*12</f>
        <v/>
      </c>
      <c r="F44" s="498">
        <f>E44*1.08</f>
        <v/>
      </c>
      <c r="G44" s="498">
        <f>F44*1.08</f>
        <v/>
      </c>
      <c r="H44" s="498">
        <f>G44*1.08</f>
        <v/>
      </c>
      <c r="I44" s="498">
        <f>H44*1.08</f>
        <v/>
      </c>
      <c r="K44" s="503" t="n"/>
      <c r="L44" s="504" t="n"/>
      <c r="M44" s="504" t="n"/>
    </row>
    <row r="45">
      <c r="A45" s="86" t="inlineStr">
        <is>
          <t>Head of Sales</t>
        </is>
      </c>
      <c r="B45" s="85" t="n">
        <v>1</v>
      </c>
      <c r="C45" s="498" t="n">
        <v>5500</v>
      </c>
      <c r="E45" s="502">
        <f>C45*12</f>
        <v/>
      </c>
      <c r="F45" s="498">
        <f>E45*1.08</f>
        <v/>
      </c>
      <c r="G45" s="498">
        <f>F45*1.08</f>
        <v/>
      </c>
      <c r="H45" s="498">
        <f>G45*1.08</f>
        <v/>
      </c>
      <c r="I45" s="498">
        <f>H45*1.08</f>
        <v/>
      </c>
      <c r="K45" s="503" t="n"/>
      <c r="L45" s="504" t="n"/>
      <c r="M45" s="504" t="n"/>
    </row>
    <row r="46">
      <c r="A46" s="86" t="inlineStr">
        <is>
          <t>HR Director</t>
        </is>
      </c>
      <c r="B46" s="85" t="n">
        <v>1</v>
      </c>
      <c r="C46" s="498" t="n">
        <v>5000</v>
      </c>
      <c r="E46" s="502">
        <f>C46*12</f>
        <v/>
      </c>
      <c r="F46" s="498" t="n">
        <v>64000</v>
      </c>
      <c r="G46" s="498">
        <f>F46*1.08</f>
        <v/>
      </c>
      <c r="H46" s="498">
        <f>G46*1.08</f>
        <v/>
      </c>
      <c r="I46" s="498">
        <f>H46*1.08</f>
        <v/>
      </c>
      <c r="K46" s="503" t="n"/>
      <c r="L46" s="504" t="n"/>
      <c r="M46" s="504" t="n"/>
    </row>
    <row r="47">
      <c r="A47" s="86" t="inlineStr">
        <is>
          <t>Office &amp; Administration</t>
        </is>
      </c>
      <c r="B47" s="85" t="n">
        <v>5</v>
      </c>
      <c r="C47" s="498" t="n">
        <v>5000</v>
      </c>
      <c r="E47" s="502">
        <f>C47*12</f>
        <v/>
      </c>
      <c r="F47" s="498">
        <f>E47*1.08</f>
        <v/>
      </c>
      <c r="G47" s="498">
        <f>F47*1.08</f>
        <v/>
      </c>
      <c r="H47" s="498">
        <f>G47*1.08</f>
        <v/>
      </c>
      <c r="I47" s="498">
        <f>H47*1.08</f>
        <v/>
      </c>
      <c r="K47" s="503" t="n"/>
      <c r="L47" s="504" t="n"/>
      <c r="M47" s="504" t="n"/>
    </row>
    <row r="48">
      <c r="A48" s="86" t="inlineStr">
        <is>
          <t>Board Members</t>
        </is>
      </c>
      <c r="B48" s="85" t="n">
        <v>5</v>
      </c>
      <c r="C48" s="498" t="n">
        <v>10000</v>
      </c>
      <c r="E48" s="502">
        <f>C48*12</f>
        <v/>
      </c>
      <c r="F48" s="498">
        <f>E48*1.08</f>
        <v/>
      </c>
      <c r="G48" s="498">
        <f>F48*1.08</f>
        <v/>
      </c>
      <c r="H48" s="498">
        <f>G48*1.08</f>
        <v/>
      </c>
      <c r="I48" s="498">
        <f>H48*1.08</f>
        <v/>
      </c>
      <c r="K48" s="503" t="n"/>
      <c r="L48" s="504" t="n"/>
      <c r="M48" s="504" t="n"/>
    </row>
    <row r="49">
      <c r="A49" s="86" t="inlineStr">
        <is>
          <t>Marketing Staff</t>
        </is>
      </c>
      <c r="B49" s="85" t="n">
        <v>25</v>
      </c>
      <c r="C49" s="498" t="n">
        <v>75000</v>
      </c>
      <c r="E49" s="502">
        <f>C49*12</f>
        <v/>
      </c>
      <c r="F49" s="498">
        <f>E49*1.08</f>
        <v/>
      </c>
      <c r="G49" s="498">
        <f>F49*1.08</f>
        <v/>
      </c>
      <c r="H49" s="498">
        <f>G49*1.08</f>
        <v/>
      </c>
      <c r="I49" s="498">
        <f>H49*1.08</f>
        <v/>
      </c>
      <c r="K49" s="503" t="n"/>
      <c r="L49" s="504" t="n"/>
      <c r="M49" s="504" t="n"/>
    </row>
    <row r="50">
      <c r="A50" s="86" t="inlineStr">
        <is>
          <t>Technical Staff Local</t>
        </is>
      </c>
      <c r="B50" s="85" t="n">
        <v>25</v>
      </c>
      <c r="C50" s="498" t="n">
        <v>45000</v>
      </c>
      <c r="E50" s="502">
        <f>C50*12</f>
        <v/>
      </c>
      <c r="F50" s="498">
        <f>E50*1.08</f>
        <v/>
      </c>
      <c r="G50" s="498">
        <f>F50*1.08</f>
        <v/>
      </c>
      <c r="H50" s="498">
        <f>G50*1.08</f>
        <v/>
      </c>
      <c r="I50" s="498">
        <f>H50*1.08</f>
        <v/>
      </c>
      <c r="K50" s="503" t="n"/>
      <c r="L50" s="504" t="n"/>
      <c r="M50" s="504" t="n"/>
    </row>
    <row r="51">
      <c r="A51" s="86" t="inlineStr">
        <is>
          <t>Technical Staff Control</t>
        </is>
      </c>
      <c r="B51" s="85" t="n">
        <v>10</v>
      </c>
      <c r="C51" s="498" t="n">
        <v>35000</v>
      </c>
      <c r="E51" s="502">
        <f>C51*12</f>
        <v/>
      </c>
      <c r="F51" s="498">
        <f>E51*1.08</f>
        <v/>
      </c>
      <c r="G51" s="498">
        <f>F51*1.08</f>
        <v/>
      </c>
      <c r="H51" s="498">
        <f>G51*1.08</f>
        <v/>
      </c>
      <c r="I51" s="498">
        <f>H51*1.08</f>
        <v/>
      </c>
      <c r="K51" s="503" t="n"/>
      <c r="L51" s="504" t="n"/>
      <c r="M51" s="504" t="n"/>
    </row>
    <row r="52">
      <c r="A52" s="344" t="inlineStr">
        <is>
          <t>Total staff</t>
        </is>
      </c>
      <c r="B52" s="86">
        <f>SUM(B41:B51)+B36</f>
        <v/>
      </c>
      <c r="C52" s="505">
        <f>SUM(C41:C51)</f>
        <v/>
      </c>
      <c r="E52" s="505">
        <f>SUM(E41:E51)</f>
        <v/>
      </c>
      <c r="F52" s="505">
        <f>SUM(F41:F51)</f>
        <v/>
      </c>
      <c r="G52" s="505">
        <f>SUM(G41:G51)</f>
        <v/>
      </c>
      <c r="H52" s="505">
        <f>SUM(H41:H51)</f>
        <v/>
      </c>
      <c r="I52" s="505">
        <f>SUM(I41:I51)</f>
        <v/>
      </c>
      <c r="K52" s="503" t="n"/>
      <c r="L52" s="504" t="n"/>
      <c r="M52" s="504" t="n"/>
    </row>
    <row r="53">
      <c r="A53" s="86" t="n"/>
      <c r="B53" s="86" t="n"/>
    </row>
    <row r="54">
      <c r="A54" s="91" t="inlineStr">
        <is>
          <t>Office Rent and Rates</t>
        </is>
      </c>
      <c r="B54" s="86" t="inlineStr">
        <is>
          <t>Head Office and warehousing</t>
        </is>
      </c>
      <c r="C54" s="498" t="n">
        <v>12000</v>
      </c>
      <c r="E54" s="498">
        <f>C54*12</f>
        <v/>
      </c>
      <c r="F54" s="498">
        <f>E54</f>
        <v/>
      </c>
      <c r="G54" s="498">
        <f>F54</f>
        <v/>
      </c>
      <c r="H54" s="498">
        <f>G54</f>
        <v/>
      </c>
      <c r="I54" s="498">
        <f>H54</f>
        <v/>
      </c>
    </row>
    <row r="55">
      <c r="A55" s="86" t="n"/>
      <c r="B55" s="86" t="n"/>
      <c r="C55" s="498" t="n"/>
      <c r="E55" s="498" t="n"/>
      <c r="F55" s="498" t="n"/>
      <c r="G55" s="498" t="n"/>
      <c r="H55" s="498" t="n"/>
      <c r="I55" s="498" t="n"/>
    </row>
    <row r="56">
      <c r="A56" s="91" t="inlineStr">
        <is>
          <t>Utilities</t>
        </is>
      </c>
      <c r="B56" s="86" t="inlineStr">
        <is>
          <t>Electricity and Water</t>
        </is>
      </c>
      <c r="C56" s="498" t="n">
        <v>4000</v>
      </c>
      <c r="E56" s="498">
        <f>C56*12</f>
        <v/>
      </c>
      <c r="F56" s="498">
        <f>E56</f>
        <v/>
      </c>
      <c r="G56" s="498">
        <f>F56</f>
        <v/>
      </c>
      <c r="H56" s="498">
        <f>G56</f>
        <v/>
      </c>
      <c r="I56" s="498">
        <f>H56</f>
        <v/>
      </c>
    </row>
    <row r="57">
      <c r="A57" s="86" t="n"/>
      <c r="F57" s="498" t="n"/>
      <c r="G57" s="498" t="n"/>
      <c r="H57" s="498" t="n"/>
      <c r="I57" s="498" t="n"/>
    </row>
    <row r="58">
      <c r="A58" s="91" t="inlineStr">
        <is>
          <t>Repairs and Maintenance</t>
        </is>
      </c>
      <c r="B58" s="87" t="inlineStr">
        <is>
          <t>Nodes - transmitter (£49) charge (£3)</t>
        </is>
      </c>
      <c r="C58" s="498" t="n">
        <v>6000</v>
      </c>
      <c r="E58" s="498">
        <f>C58*12</f>
        <v/>
      </c>
      <c r="F58" s="498">
        <f>E58</f>
        <v/>
      </c>
      <c r="G58" s="498">
        <f>F58</f>
        <v/>
      </c>
      <c r="H58" s="498">
        <f>G58</f>
        <v/>
      </c>
      <c r="I58" s="498">
        <f>H58</f>
        <v/>
      </c>
    </row>
    <row r="59">
      <c r="B59" s="87" t="inlineStr">
        <is>
          <t>7200 installed by the end of month 3</t>
        </is>
      </c>
      <c r="F59" s="498" t="n"/>
      <c r="G59" s="498" t="n"/>
    </row>
    <row r="60">
      <c r="B60" s="87" t="inlineStr">
        <is>
          <t>25000 by the end of year 1</t>
        </is>
      </c>
      <c r="E60" s="506" t="n"/>
      <c r="F60" s="498" t="n"/>
      <c r="G60" s="498" t="n"/>
    </row>
    <row r="61">
      <c r="A61" s="87" t="n"/>
      <c r="F61" s="498" t="n"/>
      <c r="G61" s="498" t="n"/>
    </row>
    <row r="62">
      <c r="A62" s="91" t="inlineStr">
        <is>
          <t xml:space="preserve">Admin Costs </t>
        </is>
      </c>
      <c r="B62" s="87" t="inlineStr">
        <is>
          <t>Postage, Stationery, Telephone and Printing</t>
        </is>
      </c>
      <c r="C62" s="498" t="n">
        <v>1000</v>
      </c>
      <c r="E62" s="498">
        <f>C62*12</f>
        <v/>
      </c>
      <c r="F62" s="498">
        <f>E62</f>
        <v/>
      </c>
      <c r="G62" s="498">
        <f>F62</f>
        <v/>
      </c>
      <c r="H62" s="498">
        <f>G62</f>
        <v/>
      </c>
      <c r="I62" s="498">
        <f>H62</f>
        <v/>
      </c>
    </row>
    <row r="63">
      <c r="A63" s="87" t="n"/>
      <c r="C63" s="498" t="n"/>
      <c r="E63" s="498" t="n"/>
      <c r="F63" s="498" t="n"/>
      <c r="G63" s="498" t="n"/>
      <c r="H63" s="498" t="n"/>
      <c r="I63" s="498" t="n"/>
    </row>
    <row r="64">
      <c r="A64" s="91" t="inlineStr">
        <is>
          <t>Fiber Optic Lease</t>
        </is>
      </c>
      <c r="C64" s="498" t="n">
        <v>1300000</v>
      </c>
      <c r="E64" s="498">
        <f>C64*12</f>
        <v/>
      </c>
      <c r="F64" s="498">
        <f>E64*1.4</f>
        <v/>
      </c>
      <c r="G64" s="498">
        <f>F64*1.4</f>
        <v/>
      </c>
      <c r="H64" s="498">
        <f>E64*1.4</f>
        <v/>
      </c>
      <c r="I64" s="498">
        <f>E64*1.4</f>
        <v/>
      </c>
    </row>
    <row r="65">
      <c r="A65" s="87" t="n"/>
      <c r="C65" s="498" t="n"/>
      <c r="E65" s="498" t="n"/>
      <c r="F65" s="498" t="n"/>
      <c r="G65" s="498" t="n"/>
      <c r="H65" s="498" t="n"/>
      <c r="I65" s="498" t="n"/>
    </row>
    <row r="66">
      <c r="A66" s="91" t="inlineStr">
        <is>
          <t>Other Legal and Professional Costs</t>
        </is>
      </c>
      <c r="B66" s="94" t="n"/>
      <c r="C66" s="498" t="n"/>
      <c r="E66" s="498" t="n"/>
      <c r="F66" s="498" t="n"/>
      <c r="G66" s="498" t="n"/>
      <c r="H66" s="498" t="n"/>
      <c r="I66" s="498" t="n"/>
    </row>
    <row r="67">
      <c r="A67" s="87" t="inlineStr">
        <is>
          <t>Accountant / Auditor</t>
        </is>
      </c>
      <c r="B67" s="87" t="inlineStr">
        <is>
          <t>Based on a CR $50 per hour</t>
        </is>
      </c>
      <c r="C67" s="502">
        <f>E67/12</f>
        <v/>
      </c>
      <c r="E67" s="498" t="n">
        <v>10000</v>
      </c>
      <c r="F67" s="498">
        <f>E67</f>
        <v/>
      </c>
      <c r="G67" s="498">
        <f>F67</f>
        <v/>
      </c>
      <c r="H67" s="498">
        <f>G67</f>
        <v/>
      </c>
      <c r="I67" s="498">
        <f>H67</f>
        <v/>
      </c>
    </row>
    <row r="68">
      <c r="A68" s="87" t="inlineStr">
        <is>
          <t>Solicitors</t>
        </is>
      </c>
      <c r="B68" s="87" t="inlineStr">
        <is>
          <t>Based on a CR $50 per hour</t>
        </is>
      </c>
      <c r="C68" s="502">
        <f>E68/12</f>
        <v/>
      </c>
      <c r="E68" s="498" t="n">
        <v>5000</v>
      </c>
      <c r="F68" s="498">
        <f>E68</f>
        <v/>
      </c>
      <c r="G68" s="498">
        <f>F68</f>
        <v/>
      </c>
      <c r="H68" s="498">
        <f>G68</f>
        <v/>
      </c>
      <c r="I68" s="498">
        <f>H68</f>
        <v/>
      </c>
    </row>
    <row r="69">
      <c r="A69" s="87" t="inlineStr">
        <is>
          <t>Security Cost (manned guarding)</t>
        </is>
      </c>
      <c r="B69" s="87" t="inlineStr">
        <is>
          <t>Octavian Security</t>
        </is>
      </c>
      <c r="C69" s="502">
        <f>E69/12</f>
        <v/>
      </c>
      <c r="E69" s="498">
        <f>(1100/5)*12</f>
        <v/>
      </c>
      <c r="F69" s="498">
        <f>E69</f>
        <v/>
      </c>
      <c r="G69" s="498">
        <f>F69</f>
        <v/>
      </c>
      <c r="H69" s="498">
        <f>G69</f>
        <v/>
      </c>
      <c r="I69" s="498">
        <f>H69</f>
        <v/>
      </c>
    </row>
    <row r="70">
      <c r="A70" s="87" t="inlineStr">
        <is>
          <t>Alarm Costs (installation only)</t>
        </is>
      </c>
      <c r="B70" s="87" t="inlineStr">
        <is>
          <t>Octavian Security</t>
        </is>
      </c>
      <c r="C70" s="502">
        <f>E70/12</f>
        <v/>
      </c>
      <c r="E70" s="498">
        <f>9600</f>
        <v/>
      </c>
      <c r="F70" s="498">
        <f>E70</f>
        <v/>
      </c>
      <c r="G70" s="498">
        <f>F70</f>
        <v/>
      </c>
      <c r="H70" s="498">
        <f>G70</f>
        <v/>
      </c>
      <c r="I70" s="498">
        <f>H70</f>
        <v/>
      </c>
    </row>
    <row r="71">
      <c r="A71" s="87" t="inlineStr">
        <is>
          <t>Alarm Costs (monitoring)</t>
        </is>
      </c>
      <c r="B71" s="87" t="inlineStr">
        <is>
          <t>Octavian Security</t>
        </is>
      </c>
      <c r="C71" s="502">
        <f>E71/12</f>
        <v/>
      </c>
      <c r="E71" s="498">
        <f>50*12</f>
        <v/>
      </c>
      <c r="F71" s="498">
        <f>E71</f>
        <v/>
      </c>
      <c r="G71" s="498">
        <f>F71</f>
        <v/>
      </c>
      <c r="H71" s="498">
        <f>G71</f>
        <v/>
      </c>
      <c r="I71" s="498">
        <f>H71</f>
        <v/>
      </c>
    </row>
    <row r="72">
      <c r="A72" s="96" t="n"/>
      <c r="B72" s="94" t="n"/>
      <c r="C72" s="499">
        <f>SUM(C67:C71)</f>
        <v/>
      </c>
      <c r="E72" s="499">
        <f>SUM(E67:E71)</f>
        <v/>
      </c>
      <c r="F72" s="499">
        <f>SUM(F67:F71)</f>
        <v/>
      </c>
      <c r="G72" s="499">
        <f>SUM(G67:G71)</f>
        <v/>
      </c>
      <c r="H72" s="499">
        <f>SUM(H67:H71)</f>
        <v/>
      </c>
      <c r="I72" s="499">
        <f>SUM(I67:I71)</f>
        <v/>
      </c>
    </row>
    <row r="73">
      <c r="A73" s="87" t="n"/>
      <c r="C73" s="498" t="n"/>
      <c r="E73" s="498" t="n"/>
      <c r="F73" s="498" t="n"/>
      <c r="G73" s="498" t="n"/>
      <c r="H73" s="498" t="n"/>
      <c r="I73" s="498" t="n"/>
    </row>
    <row r="74">
      <c r="A74" s="91" t="inlineStr">
        <is>
          <t>Insurances</t>
        </is>
      </c>
      <c r="B74" s="94" t="n"/>
      <c r="E74" s="506" t="n"/>
      <c r="F74" s="498" t="n"/>
      <c r="G74" s="498" t="n"/>
      <c r="H74" s="498" t="n"/>
      <c r="I74" s="498" t="n"/>
    </row>
    <row r="75">
      <c r="A75" s="87" t="inlineStr">
        <is>
          <t>General and Commercial Insurance</t>
        </is>
      </c>
      <c r="B75" s="87" t="inlineStr">
        <is>
          <t>5% of insured value of assets</t>
        </is>
      </c>
      <c r="C75" s="498">
        <f>(0.05*(188*5000))/12</f>
        <v/>
      </c>
      <c r="E75" s="498">
        <f>C75*12</f>
        <v/>
      </c>
      <c r="F75" s="498">
        <f>E75*2</f>
        <v/>
      </c>
      <c r="G75" s="498">
        <f>E75*3</f>
        <v/>
      </c>
      <c r="H75" s="498">
        <f>E75*4</f>
        <v/>
      </c>
      <c r="I75" s="498">
        <f>E75*5</f>
        <v/>
      </c>
    </row>
    <row r="76">
      <c r="A76" s="96" t="n"/>
      <c r="B76" s="94" t="n"/>
      <c r="C76" s="498" t="n"/>
      <c r="E76" s="498" t="n"/>
      <c r="F76" s="498" t="n"/>
      <c r="G76" s="498" t="n"/>
      <c r="H76" s="498" t="n"/>
      <c r="I76" s="498" t="n"/>
    </row>
    <row r="77">
      <c r="A77" s="91" t="inlineStr">
        <is>
          <t>Bank Charges</t>
        </is>
      </c>
      <c r="B77" s="87" t="inlineStr">
        <is>
          <t>0.25% of Sales</t>
        </is>
      </c>
      <c r="C77" s="107" t="n">
        <v>0.0025</v>
      </c>
      <c r="D77" s="107" t="n"/>
      <c r="E77" s="107" t="n">
        <v>0.0025</v>
      </c>
      <c r="F77" s="107" t="n">
        <v>0.0025</v>
      </c>
      <c r="G77" s="107" t="n">
        <v>0.0025</v>
      </c>
      <c r="H77" s="107" t="n">
        <v>0.0025</v>
      </c>
      <c r="I77" s="107" t="n">
        <v>0.0025</v>
      </c>
    </row>
    <row r="78">
      <c r="F78" s="498" t="n"/>
      <c r="G78" s="498" t="n"/>
      <c r="H78" s="498" t="n"/>
      <c r="I78" s="498" t="n"/>
    </row>
    <row r="79" ht="18" customHeight="1">
      <c r="A79" s="91" t="inlineStr">
        <is>
          <t>Depreciation</t>
        </is>
      </c>
      <c r="B79" s="87" t="inlineStr">
        <is>
          <t>33% Straight Line for simplicity</t>
        </is>
      </c>
      <c r="C79" s="507">
        <f>E79/12</f>
        <v/>
      </c>
      <c r="E79" s="498">
        <f>0.18*SUM($E$6:$E$15)</f>
        <v/>
      </c>
      <c r="F79" s="507">
        <f>E79</f>
        <v/>
      </c>
      <c r="G79" s="507">
        <f>F79</f>
        <v/>
      </c>
      <c r="H79" s="507">
        <f>G79</f>
        <v/>
      </c>
      <c r="I79" s="507">
        <f>H79</f>
        <v/>
      </c>
    </row>
    <row r="80" ht="18" customHeight="1">
      <c r="A80" s="91" t="n"/>
      <c r="B80" s="87" t="n"/>
      <c r="C80" s="507" t="n"/>
      <c r="E80" s="498" t="n"/>
      <c r="F80" s="507" t="n"/>
      <c r="G80" s="507" t="n"/>
      <c r="H80" s="507" t="n"/>
      <c r="I80" s="507" t="n"/>
    </row>
    <row r="81">
      <c r="A81" s="91" t="n"/>
      <c r="E81" s="506" t="n"/>
    </row>
    <row r="82">
      <c r="E82" s="85" t="n"/>
    </row>
    <row r="83">
      <c r="E83" s="85" t="n"/>
    </row>
    <row r="84">
      <c r="E84" s="85" t="n"/>
    </row>
    <row r="85">
      <c r="E85" s="85" t="n"/>
    </row>
    <row r="86">
      <c r="E86" s="85" t="n"/>
    </row>
    <row r="87">
      <c r="E87" s="85" t="n"/>
    </row>
    <row r="88">
      <c r="E88" s="85" t="n"/>
    </row>
    <row r="89">
      <c r="E89" s="85" t="n"/>
    </row>
    <row r="90">
      <c r="E90" s="85" t="n"/>
    </row>
    <row r="91">
      <c r="E91" s="85" t="n"/>
    </row>
    <row r="92">
      <c r="E92" s="85" t="n"/>
    </row>
    <row r="93">
      <c r="E93" s="85" t="n"/>
    </row>
    <row r="94">
      <c r="E94" s="85" t="n"/>
    </row>
    <row r="95">
      <c r="E95" s="85" t="n"/>
    </row>
    <row r="96">
      <c r="E96" s="85" t="n"/>
    </row>
    <row r="97">
      <c r="E97" s="85" t="n"/>
    </row>
    <row r="98">
      <c r="E98" s="85" t="n"/>
    </row>
    <row r="99">
      <c r="E99" s="85" t="n"/>
    </row>
    <row r="100">
      <c r="E100" s="85" t="n"/>
    </row>
    <row r="101">
      <c r="E101" s="85" t="n"/>
    </row>
    <row r="102">
      <c r="E102" s="85" t="n"/>
    </row>
    <row r="103">
      <c r="E103" s="85" t="n"/>
    </row>
    <row r="104">
      <c r="E104" s="85" t="n"/>
    </row>
    <row r="105">
      <c r="E105" s="85" t="n"/>
    </row>
    <row r="106">
      <c r="E106" s="85" t="n"/>
    </row>
    <row r="107">
      <c r="E107" s="85" t="n"/>
    </row>
    <row r="108">
      <c r="E108" s="85" t="n"/>
    </row>
    <row r="109">
      <c r="E109" s="85" t="n"/>
    </row>
    <row r="110">
      <c r="E110" s="85" t="n"/>
    </row>
    <row r="111">
      <c r="E111" s="85" t="n"/>
    </row>
    <row r="112">
      <c r="E112" s="85" t="n"/>
    </row>
    <row r="113">
      <c r="E113" s="85" t="n"/>
    </row>
    <row r="114">
      <c r="E114" s="85" t="n"/>
    </row>
    <row r="115">
      <c r="E115" s="85" t="n"/>
    </row>
    <row r="116">
      <c r="E116" s="85" t="n"/>
    </row>
    <row r="117">
      <c r="E117" s="85" t="n"/>
    </row>
    <row r="118">
      <c r="E118" s="85" t="n"/>
    </row>
    <row r="119">
      <c r="E119" s="85" t="n"/>
    </row>
    <row r="120">
      <c r="E120" s="85" t="n"/>
    </row>
    <row r="121">
      <c r="E121" s="85" t="n"/>
    </row>
    <row r="122">
      <c r="E122" s="85" t="n"/>
    </row>
    <row r="123">
      <c r="E123" s="85" t="n"/>
    </row>
    <row r="124">
      <c r="E124" s="85" t="n"/>
    </row>
    <row r="125">
      <c r="E125" s="85" t="n"/>
    </row>
    <row r="126">
      <c r="E126" s="85" t="n"/>
    </row>
    <row r="127">
      <c r="E127" s="85" t="n"/>
    </row>
    <row r="128">
      <c r="E128" s="85" t="n"/>
    </row>
    <row r="129">
      <c r="E129" s="85" t="n"/>
    </row>
    <row r="130">
      <c r="E130" s="85" t="n"/>
    </row>
    <row r="131">
      <c r="E131" s="85" t="n"/>
    </row>
    <row r="132">
      <c r="E132" s="85" t="n"/>
    </row>
    <row r="133">
      <c r="E133" s="85" t="n"/>
    </row>
    <row r="134">
      <c r="E134" s="85" t="n"/>
    </row>
    <row r="135">
      <c r="E135" s="85" t="n"/>
    </row>
    <row r="136">
      <c r="E136" s="85" t="n"/>
    </row>
    <row r="137">
      <c r="E137" s="85" t="n"/>
    </row>
    <row r="138">
      <c r="E138" s="85" t="n"/>
    </row>
    <row r="139">
      <c r="E139" s="85" t="n"/>
    </row>
    <row r="140">
      <c r="E140" s="85" t="n"/>
    </row>
    <row r="141">
      <c r="E141" s="85" t="n"/>
    </row>
    <row r="142">
      <c r="E142" s="85" t="n"/>
    </row>
    <row r="143">
      <c r="E143" s="85" t="n"/>
    </row>
    <row r="144">
      <c r="E144" s="85" t="n"/>
    </row>
    <row r="145">
      <c r="E145" s="85" t="n"/>
    </row>
    <row r="146">
      <c r="E146" s="85" t="n"/>
    </row>
    <row r="147">
      <c r="E147" s="85" t="n"/>
    </row>
    <row r="148">
      <c r="E148" s="85" t="n"/>
    </row>
    <row r="149">
      <c r="E149" s="85" t="n"/>
    </row>
    <row r="150">
      <c r="E150" s="85" t="n"/>
    </row>
    <row r="151">
      <c r="E151" s="85" t="n"/>
    </row>
    <row r="152">
      <c r="E152" s="85" t="n"/>
    </row>
    <row r="153">
      <c r="E153" s="85" t="n"/>
    </row>
    <row r="154">
      <c r="E154" s="85" t="n"/>
    </row>
    <row r="155">
      <c r="E155" s="85" t="n"/>
    </row>
    <row r="156">
      <c r="E156" s="85" t="n"/>
    </row>
    <row r="157">
      <c r="E157" s="85" t="n"/>
    </row>
    <row r="158">
      <c r="E158" s="85" t="n"/>
    </row>
    <row r="159">
      <c r="E159" s="85" t="n"/>
    </row>
    <row r="160">
      <c r="E160" s="85" t="n"/>
    </row>
    <row r="161">
      <c r="E161" s="85" t="n"/>
    </row>
    <row r="162">
      <c r="E162" s="85" t="n"/>
    </row>
    <row r="163">
      <c r="E163" s="85" t="n"/>
    </row>
    <row r="164">
      <c r="E164" s="85" t="n"/>
    </row>
    <row r="165">
      <c r="E165" s="85" t="n"/>
    </row>
    <row r="166">
      <c r="E166" s="85" t="n"/>
    </row>
    <row r="167">
      <c r="E167" s="85" t="n"/>
    </row>
    <row r="168">
      <c r="E168" s="85" t="n"/>
    </row>
    <row r="169">
      <c r="E169" s="85" t="n"/>
    </row>
    <row r="170">
      <c r="E170" s="85" t="n"/>
    </row>
    <row r="171">
      <c r="E171" s="85" t="n"/>
    </row>
    <row r="172">
      <c r="E172" s="85" t="n"/>
    </row>
    <row r="173">
      <c r="E173" s="85" t="n"/>
    </row>
    <row r="174">
      <c r="E174" s="85" t="n"/>
    </row>
    <row r="175">
      <c r="E175" s="85" t="n"/>
    </row>
    <row r="176">
      <c r="E176" s="85" t="n"/>
    </row>
    <row r="177">
      <c r="E177" s="85" t="n"/>
    </row>
    <row r="178">
      <c r="E178" s="85" t="n"/>
    </row>
    <row r="179">
      <c r="E179" s="85" t="n"/>
    </row>
    <row r="180">
      <c r="E180" s="85" t="n"/>
    </row>
    <row r="181">
      <c r="E181" s="85" t="n"/>
    </row>
    <row r="182">
      <c r="E182" s="85" t="n"/>
    </row>
    <row r="183">
      <c r="E183" s="85" t="n"/>
    </row>
    <row r="184">
      <c r="E184" s="85" t="n"/>
    </row>
    <row r="185">
      <c r="E185" s="85" t="n"/>
    </row>
    <row r="186">
      <c r="E186" s="85" t="n"/>
    </row>
    <row r="187">
      <c r="E187" s="85" t="n"/>
    </row>
    <row r="188">
      <c r="E188" s="85" t="n"/>
    </row>
    <row r="189">
      <c r="E189" s="85" t="n"/>
    </row>
    <row r="190">
      <c r="E190" s="85" t="n"/>
    </row>
    <row r="191">
      <c r="E191" s="85" t="n"/>
    </row>
    <row r="192">
      <c r="E192" s="85" t="n"/>
    </row>
    <row r="193">
      <c r="D193" s="497" t="n"/>
      <c r="E193" s="85" t="n"/>
    </row>
    <row r="194">
      <c r="D194" s="497" t="n"/>
      <c r="E194" s="85" t="n"/>
    </row>
    <row r="195">
      <c r="D195" s="497" t="n"/>
      <c r="E195" s="85" t="n"/>
    </row>
    <row r="196">
      <c r="D196" s="497" t="n"/>
      <c r="E196" s="85" t="n"/>
    </row>
    <row r="197">
      <c r="D197" s="497" t="n"/>
      <c r="E197" s="85" t="n"/>
    </row>
    <row r="198">
      <c r="D198" s="497" t="n"/>
      <c r="E198" s="85" t="n"/>
    </row>
    <row r="199">
      <c r="D199" s="497" t="n"/>
      <c r="E199" s="85" t="n"/>
    </row>
    <row r="200">
      <c r="D200" s="497" t="n"/>
      <c r="E200" s="85" t="n"/>
    </row>
    <row r="201">
      <c r="D201" s="497" t="n"/>
      <c r="E201" s="85" t="n"/>
    </row>
    <row r="202">
      <c r="D202" s="497" t="n"/>
      <c r="E202" s="85" t="n"/>
    </row>
    <row r="203">
      <c r="D203" s="497" t="n"/>
      <c r="E203" s="85" t="n"/>
    </row>
    <row r="204">
      <c r="D204" s="497" t="n"/>
      <c r="E204" s="85" t="n"/>
    </row>
    <row r="205">
      <c r="D205" s="497" t="n"/>
      <c r="E205" s="85" t="n"/>
    </row>
    <row r="206">
      <c r="D206" s="497" t="n"/>
      <c r="E206" s="85" t="n"/>
    </row>
    <row r="207">
      <c r="D207" s="497" t="n"/>
      <c r="E207" s="85" t="n"/>
    </row>
    <row r="208">
      <c r="D208" s="497" t="n"/>
      <c r="E208" s="85" t="n"/>
    </row>
    <row r="209">
      <c r="D209" s="497" t="n"/>
      <c r="E209" s="85" t="n"/>
    </row>
    <row r="210">
      <c r="D210" s="497" t="n"/>
      <c r="E210" s="85" t="n"/>
    </row>
    <row r="211">
      <c r="D211" s="497" t="n"/>
      <c r="E211" s="85" t="n"/>
    </row>
    <row r="212">
      <c r="D212" s="497" t="n"/>
      <c r="E212" s="85" t="n"/>
    </row>
    <row r="213">
      <c r="D213" s="497" t="n"/>
      <c r="E213" s="85" t="n"/>
    </row>
  </sheetData>
  <pageMargins left="0.7086614173228347" right="0.7086614173228347" top="0.7480314960629921" bottom="0.7480314960629921" header="0.3149606299212598" footer="0.3149606299212598"/>
  <pageSetup orientation="landscape" paperSize="257" scale="94"/>
  <headerFooter>
    <oddHeader>&amp;C&amp;F!&amp;A</oddHeader>
    <oddFooter>&amp;CPage 1 of 12&amp;R?2016</oddFooter>
    <evenHeader/>
    <evenFooter/>
    <firstHeader/>
    <firstFooter/>
  </headerFooter>
  <rowBreaks count="1" manualBreakCount="1">
    <brk id="39" min="0" max="9" man="1"/>
  </rowBreak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2:R14"/>
  <sheetViews>
    <sheetView workbookViewId="0">
      <selection activeCell="E7" sqref="E7"/>
    </sheetView>
  </sheetViews>
  <sheetFormatPr baseColWidth="8" defaultRowHeight="12.75"/>
  <cols>
    <col width="30.7109375" bestFit="1" customWidth="1" style="85" min="1" max="1"/>
    <col width="23" customWidth="1" style="85" min="2" max="2"/>
    <col width="9.140625" customWidth="1" style="85" min="3" max="4"/>
    <col width="12.7109375" customWidth="1" style="85" min="5" max="5"/>
    <col width="12.42578125" bestFit="1" customWidth="1" style="85" min="6" max="6"/>
    <col width="9.140625" customWidth="1" style="85" min="7" max="16384"/>
  </cols>
  <sheetData>
    <row r="2">
      <c r="A2" s="344" t="inlineStr">
        <is>
          <t>Expense Incurred</t>
        </is>
      </c>
      <c r="B2" s="344" t="inlineStr">
        <is>
          <t>Equipment Required</t>
        </is>
      </c>
      <c r="D2" s="344" t="inlineStr">
        <is>
          <t>Qty</t>
        </is>
      </c>
      <c r="E2" s="344" t="inlineStr">
        <is>
          <t>Est Cost $</t>
        </is>
      </c>
      <c r="F2" s="344" t="inlineStr">
        <is>
          <t>Month 1</t>
        </is>
      </c>
      <c r="G2" s="344" t="inlineStr">
        <is>
          <t>Month 2</t>
        </is>
      </c>
      <c r="H2" s="344" t="inlineStr">
        <is>
          <t>Month 3</t>
        </is>
      </c>
      <c r="I2" s="344" t="inlineStr">
        <is>
          <t>Month 4</t>
        </is>
      </c>
      <c r="J2" s="344" t="inlineStr">
        <is>
          <t>Month 5</t>
        </is>
      </c>
      <c r="K2" s="344" t="inlineStr">
        <is>
          <t>Month 6</t>
        </is>
      </c>
      <c r="L2" s="344" t="inlineStr">
        <is>
          <t>Month 7</t>
        </is>
      </c>
      <c r="M2" s="344" t="inlineStr">
        <is>
          <t>Month 8</t>
        </is>
      </c>
      <c r="N2" s="344" t="inlineStr">
        <is>
          <t>Month 9</t>
        </is>
      </c>
      <c r="O2" s="344" t="inlineStr">
        <is>
          <t>Month 10</t>
        </is>
      </c>
      <c r="P2" s="344" t="inlineStr">
        <is>
          <t>Month 11</t>
        </is>
      </c>
      <c r="Q2" s="344" t="inlineStr">
        <is>
          <t>Month 12</t>
        </is>
      </c>
      <c r="R2" s="344" t="n"/>
    </row>
    <row r="4">
      <c r="A4" s="344" t="inlineStr">
        <is>
          <t>Fibre Optic Lease</t>
        </is>
      </c>
      <c r="B4" s="85" t="n">
        <v>0</v>
      </c>
      <c r="E4" s="85" t="n">
        <v>616000</v>
      </c>
    </row>
    <row r="5">
      <c r="A5" s="344" t="inlineStr">
        <is>
          <t>Warehouse Rental advance payment</t>
        </is>
      </c>
      <c r="B5" s="85" t="n">
        <v>0</v>
      </c>
    </row>
    <row r="6">
      <c r="B6" s="85" t="inlineStr">
        <is>
          <t>Lease of Local Vehicles</t>
        </is>
      </c>
      <c r="D6" s="85" t="n">
        <v>5</v>
      </c>
      <c r="E6" s="508" t="n">
        <v>10000</v>
      </c>
      <c r="F6" s="508">
        <f>SUM(E6:E15)</f>
        <v/>
      </c>
      <c r="G6" s="85" t="n">
        <v>120000</v>
      </c>
    </row>
    <row r="7">
      <c r="B7" s="85" t="inlineStr">
        <is>
          <t>Salaries</t>
        </is>
      </c>
      <c r="E7" s="85">
        <f>'Jnls Mthly'!D33</f>
        <v/>
      </c>
    </row>
    <row r="8">
      <c r="B8" s="85">
        <f>'Jnls Mthly'!A39</f>
        <v/>
      </c>
      <c r="E8" s="85">
        <f>'Jnls Mthly'!D39</f>
        <v/>
      </c>
    </row>
    <row r="9">
      <c r="B9" s="85" t="inlineStr">
        <is>
          <t>Wifi Equipment</t>
        </is>
      </c>
      <c r="D9" s="85" t="n">
        <v>1</v>
      </c>
      <c r="E9" s="409" t="n">
        <v>1861879.26</v>
      </c>
    </row>
    <row r="10">
      <c r="B10" s="85" t="inlineStr">
        <is>
          <t>Tycon SCPOE 1248</t>
        </is>
      </c>
      <c r="D10" s="85" t="n">
        <v>11000</v>
      </c>
      <c r="E10" s="409" t="n">
        <v>1166000</v>
      </c>
    </row>
    <row r="11">
      <c r="B11" s="85" t="inlineStr">
        <is>
          <t>Enclosures</t>
        </is>
      </c>
      <c r="D11" s="85" t="n">
        <v>11000</v>
      </c>
      <c r="E11" s="409" t="n">
        <v>481665.23</v>
      </c>
    </row>
    <row r="12">
      <c r="B12" s="85" t="inlineStr">
        <is>
          <t>batteries</t>
        </is>
      </c>
    </row>
    <row r="13">
      <c r="B13" s="85" t="inlineStr">
        <is>
          <t>solar panels</t>
        </is>
      </c>
    </row>
    <row r="14">
      <c r="B14" s="85" t="inlineStr">
        <is>
          <t>fixtures</t>
        </is>
      </c>
    </row>
  </sheetData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36"/>
  <sheetViews>
    <sheetView topLeftCell="A6" zoomScale="85" zoomScaleNormal="85" zoomScaleSheetLayoutView="100" workbookViewId="0">
      <selection activeCell="D23" sqref="D23"/>
    </sheetView>
  </sheetViews>
  <sheetFormatPr baseColWidth="8" defaultRowHeight="18"/>
  <cols>
    <col width="14.28515625" customWidth="1" style="402" min="1" max="1"/>
    <col width="21.5703125" customWidth="1" style="395" min="2" max="13"/>
    <col width="21.5703125" customWidth="1" style="383" min="14" max="14"/>
  </cols>
  <sheetData>
    <row r="1" ht="112.5" customHeight="1">
      <c r="B1" s="407" t="inlineStr">
        <is>
          <t>Assumptions</t>
        </is>
      </c>
    </row>
    <row r="2" ht="17.25" customHeight="1">
      <c r="B2" s="407" t="n"/>
    </row>
    <row r="3" ht="36" customHeight="1">
      <c r="B3" s="401" t="inlineStr">
        <is>
          <t>PROJECT TIMELINE</t>
        </is>
      </c>
    </row>
    <row r="5">
      <c r="B5" s="390" t="inlineStr">
        <is>
          <t>M 0</t>
        </is>
      </c>
      <c r="C5" s="396" t="inlineStr">
        <is>
          <t>M 1</t>
        </is>
      </c>
      <c r="D5" s="396" t="inlineStr">
        <is>
          <t>M 2</t>
        </is>
      </c>
      <c r="E5" s="396" t="inlineStr">
        <is>
          <t>M 3</t>
        </is>
      </c>
      <c r="F5" s="396" t="inlineStr">
        <is>
          <t>M 4</t>
        </is>
      </c>
      <c r="G5" s="396" t="inlineStr">
        <is>
          <t>M 5</t>
        </is>
      </c>
      <c r="H5" s="396" t="inlineStr">
        <is>
          <t>M 6</t>
        </is>
      </c>
      <c r="I5" s="396" t="inlineStr">
        <is>
          <t>M 7</t>
        </is>
      </c>
      <c r="J5" s="396" t="inlineStr">
        <is>
          <t>M 8</t>
        </is>
      </c>
      <c r="K5" s="396" t="inlineStr">
        <is>
          <t>M 9</t>
        </is>
      </c>
      <c r="L5" s="396" t="inlineStr">
        <is>
          <t>M 10</t>
        </is>
      </c>
      <c r="M5" s="396" t="inlineStr">
        <is>
          <t>M 11</t>
        </is>
      </c>
      <c r="N5" s="396" t="inlineStr">
        <is>
          <t>M 12</t>
        </is>
      </c>
    </row>
    <row r="6" customFormat="1" s="384">
      <c r="A6" s="403" t="n"/>
      <c r="B6" s="391" t="n"/>
      <c r="C6" s="397" t="n"/>
      <c r="D6" s="397" t="n"/>
      <c r="E6" s="397" t="n"/>
      <c r="F6" s="397" t="n"/>
      <c r="G6" s="397" t="n"/>
      <c r="H6" s="397" t="n"/>
      <c r="I6" s="397" t="n"/>
      <c r="J6" s="397" t="n"/>
      <c r="K6" s="397" t="n"/>
      <c r="L6" s="397" t="n"/>
      <c r="M6" s="397" t="n"/>
      <c r="N6" s="397" t="n"/>
    </row>
    <row r="7" ht="51.75" customFormat="1" customHeight="1" s="384">
      <c r="A7" s="403" t="n"/>
      <c r="B7" s="397" t="inlineStr">
        <is>
          <t>Operating expenses</t>
        </is>
      </c>
      <c r="C7" s="397" t="n"/>
      <c r="D7" s="391" t="inlineStr">
        <is>
          <t>Begin agreesive implementation with sponsorships, partnerships</t>
        </is>
      </c>
      <c r="E7" s="397" t="n"/>
      <c r="F7" s="397" t="inlineStr">
        <is>
          <t>Begin seed marketing</t>
        </is>
      </c>
      <c r="G7" s="397" t="n"/>
      <c r="H7" s="397" t="n"/>
      <c r="I7" s="397" t="n"/>
      <c r="J7" s="397" t="n"/>
      <c r="K7" s="397" t="n"/>
      <c r="L7" s="397" t="n"/>
      <c r="M7" s="397" t="n"/>
      <c r="N7" s="397" t="n"/>
    </row>
    <row r="8" customFormat="1" s="384">
      <c r="A8" s="403" t="n"/>
      <c r="B8" s="397" t="inlineStr">
        <is>
          <t>Equipment acquisition</t>
        </is>
      </c>
      <c r="C8" s="397" t="n"/>
      <c r="D8" s="391" t="n"/>
      <c r="E8" s="397" t="n"/>
      <c r="F8" s="397" t="n"/>
      <c r="G8" s="397" t="n"/>
      <c r="H8" s="397" t="n"/>
      <c r="I8" s="397" t="n"/>
      <c r="J8" s="397" t="n"/>
      <c r="K8" s="397" t="n"/>
      <c r="L8" s="397" t="n"/>
      <c r="M8" s="397" t="n"/>
      <c r="N8" s="397" t="n"/>
    </row>
    <row r="9" ht="25.5" customFormat="1" customHeight="1" s="384">
      <c r="A9" s="403" t="n"/>
      <c r="B9" s="397" t="inlineStr">
        <is>
          <t>Recruitment</t>
        </is>
      </c>
      <c r="C9" s="397" t="inlineStr">
        <is>
          <t>Recruit installers and custmer services team</t>
        </is>
      </c>
      <c r="D9" s="391" t="n"/>
      <c r="E9" s="397" t="n"/>
      <c r="F9" s="397" t="n"/>
      <c r="G9" s="397" t="n"/>
      <c r="H9" s="397" t="n"/>
      <c r="I9" s="397" t="n"/>
      <c r="J9" s="397" t="n"/>
      <c r="K9" s="397" t="n"/>
      <c r="L9" s="397" t="n"/>
      <c r="M9" s="397" t="n"/>
      <c r="N9" s="397" t="n"/>
    </row>
    <row r="10" ht="38.25" customFormat="1" customHeight="1" s="384">
      <c r="A10" s="403" t="n"/>
      <c r="B10" s="397" t="inlineStr">
        <is>
          <t>Warehousing HQ</t>
        </is>
      </c>
      <c r="C10" s="397" t="inlineStr">
        <is>
          <t>order network components for full rollout</t>
        </is>
      </c>
      <c r="D10" s="391" t="n"/>
      <c r="E10" s="397" t="n"/>
      <c r="F10" s="397" t="n"/>
      <c r="G10" s="397" t="n"/>
      <c r="H10" s="397" t="n"/>
      <c r="I10" s="397" t="n"/>
      <c r="J10" s="397" t="n"/>
      <c r="K10" s="397" t="n"/>
      <c r="L10" s="397" t="n"/>
      <c r="M10" s="397" t="n"/>
      <c r="N10" s="397" t="n"/>
    </row>
    <row r="11" ht="25.5" customFormat="1" customHeight="1" s="384">
      <c r="A11" s="403" t="n"/>
      <c r="B11" s="397" t="inlineStr">
        <is>
          <t>Sales and marketing</t>
        </is>
      </c>
      <c r="C11" s="397" t="inlineStr">
        <is>
          <t>Recruit network management teams</t>
        </is>
      </c>
      <c r="D11" s="397" t="n"/>
      <c r="E11" s="397" t="n"/>
      <c r="F11" s="397" t="n"/>
      <c r="G11" s="397" t="n"/>
      <c r="H11" s="397" t="n"/>
      <c r="I11" s="397" t="n"/>
      <c r="J11" s="397" t="n"/>
      <c r="K11" s="397" t="n"/>
      <c r="L11" s="397" t="n"/>
      <c r="M11" s="397" t="n"/>
      <c r="N11" s="397" t="n"/>
    </row>
    <row r="12" customFormat="1" s="384">
      <c r="A12" s="403" t="n"/>
      <c r="B12" s="391" t="n"/>
      <c r="C12" s="385" t="n"/>
      <c r="D12" s="397" t="n"/>
      <c r="E12" s="397" t="n"/>
      <c r="F12" s="397" t="n"/>
      <c r="G12" s="397" t="n"/>
      <c r="H12" s="397" t="n"/>
      <c r="I12" s="397" t="n"/>
      <c r="J12" s="397" t="n"/>
      <c r="K12" s="397" t="n"/>
      <c r="L12" s="397" t="n"/>
      <c r="M12" s="397" t="n"/>
      <c r="N12" s="397" t="n"/>
    </row>
    <row r="13" ht="25.5" customFormat="1" customHeight="1" s="384">
      <c r="A13" s="403" t="n"/>
      <c r="B13" s="391" t="n"/>
      <c r="C13" s="397" t="inlineStr">
        <is>
          <t>Install security for assets and property</t>
        </is>
      </c>
      <c r="D13" s="397" t="n"/>
      <c r="E13" s="397" t="n"/>
      <c r="F13" s="397" t="n"/>
      <c r="G13" s="397" t="n"/>
      <c r="H13" s="397" t="n"/>
      <c r="I13" s="397" t="n"/>
      <c r="J13" s="397" t="n"/>
      <c r="K13" s="397" t="n"/>
      <c r="L13" s="397" t="n"/>
      <c r="M13" s="397" t="n"/>
      <c r="N13" s="397" t="n"/>
    </row>
    <row r="14" customFormat="1" s="384">
      <c r="A14" s="403" t="n"/>
      <c r="B14" s="391" t="n"/>
      <c r="C14" s="397" t="n"/>
      <c r="D14" s="397" t="n"/>
      <c r="E14" s="397" t="n"/>
      <c r="F14" s="397" t="n"/>
      <c r="G14" s="397" t="n"/>
      <c r="H14" s="397" t="n"/>
      <c r="I14" s="397" t="n"/>
      <c r="J14" s="397" t="n"/>
      <c r="K14" s="397" t="n"/>
      <c r="L14" s="397" t="n"/>
      <c r="M14" s="397" t="n"/>
      <c r="N14" s="397" t="n"/>
    </row>
    <row r="15" ht="20.25" customFormat="1" customHeight="1" s="384">
      <c r="A15" s="403" t="n"/>
      <c r="B15" s="391" t="n"/>
      <c r="C15" s="397" t="n"/>
      <c r="D15" s="397" t="n"/>
      <c r="E15" s="397" t="n"/>
      <c r="F15" s="397" t="n"/>
      <c r="G15" s="397" t="n"/>
      <c r="H15" s="397" t="n"/>
      <c r="I15" s="397" t="n"/>
      <c r="J15" s="397" t="n"/>
      <c r="K15" s="397" t="n"/>
      <c r="L15" s="397" t="n"/>
      <c r="M15" s="397" t="n"/>
      <c r="N15" s="397" t="n"/>
    </row>
    <row r="16" ht="43.5" customFormat="1" customHeight="1" s="386">
      <c r="A16" s="404" t="n"/>
      <c r="B16" s="392" t="inlineStr">
        <is>
          <t>Order network components for training purposes</t>
        </is>
      </c>
      <c r="C16" s="398" t="n"/>
      <c r="D16" s="398" t="n"/>
      <c r="E16" s="398" t="n"/>
      <c r="F16" s="398" t="n"/>
      <c r="G16" s="398" t="n"/>
      <c r="H16" s="398" t="n"/>
      <c r="I16" s="398" t="n"/>
      <c r="J16" s="398" t="n"/>
      <c r="K16" s="398" t="n"/>
      <c r="L16" s="398" t="n"/>
      <c r="M16" s="398" t="n"/>
      <c r="N16" s="398" t="n"/>
    </row>
    <row r="17" ht="26.25" customFormat="1" customHeight="1" s="386">
      <c r="A17" s="404" t="n"/>
      <c r="B17" s="392" t="n"/>
      <c r="C17" s="387" t="inlineStr">
        <is>
          <t>Pre-launch marketing starts</t>
        </is>
      </c>
      <c r="D17" s="398" t="n"/>
      <c r="E17" s="398" t="n"/>
      <c r="F17" s="398" t="n"/>
      <c r="G17" s="398" t="n"/>
      <c r="H17" s="398" t="n"/>
      <c r="I17" s="398" t="n"/>
      <c r="J17" s="398" t="n"/>
      <c r="K17" s="398" t="n"/>
      <c r="L17" s="398" t="n"/>
      <c r="M17" s="398" t="n"/>
      <c r="N17" s="398" t="n"/>
    </row>
    <row r="18" customFormat="1" s="386">
      <c r="A18" s="404" t="n"/>
      <c r="B18" s="392" t="n"/>
      <c r="C18" s="398" t="inlineStr">
        <is>
          <t>Order vehicals needed</t>
        </is>
      </c>
      <c r="D18" s="398" t="n"/>
      <c r="E18" s="398" t="n"/>
      <c r="F18" s="398" t="n"/>
      <c r="G18" s="398" t="n"/>
      <c r="H18" s="398" t="n"/>
      <c r="I18" s="398" t="n"/>
      <c r="J18" s="398" t="n"/>
      <c r="K18" s="398" t="n"/>
      <c r="L18" s="398" t="n"/>
      <c r="M18" s="398" t="n"/>
      <c r="N18" s="398" t="n"/>
    </row>
    <row r="19" customFormat="1" s="386">
      <c r="A19" s="404" t="n"/>
      <c r="B19" s="392" t="n"/>
      <c r="C19" s="398" t="inlineStr">
        <is>
          <t>Install network</t>
        </is>
      </c>
      <c r="D19" s="398" t="n"/>
      <c r="E19" s="398" t="n"/>
      <c r="F19" s="398" t="n"/>
      <c r="G19" s="398" t="n"/>
      <c r="H19" s="398" t="n"/>
      <c r="I19" s="398" t="n"/>
      <c r="J19" s="398" t="n"/>
      <c r="K19" s="398" t="n"/>
      <c r="L19" s="398" t="n"/>
      <c r="M19" s="398" t="n"/>
      <c r="N19" s="398" t="n"/>
    </row>
    <row r="20" customFormat="1" s="386">
      <c r="A20" s="404" t="n"/>
      <c r="B20" s="392" t="n"/>
      <c r="C20" s="398" t="n"/>
      <c r="D20" s="398" t="n"/>
      <c r="E20" s="398" t="n"/>
      <c r="F20" s="398" t="n"/>
      <c r="G20" s="398" t="n"/>
      <c r="H20" s="398" t="n"/>
      <c r="I20" s="398" t="n"/>
      <c r="J20" s="398" t="n"/>
      <c r="K20" s="398" t="n"/>
      <c r="L20" s="398" t="n"/>
      <c r="M20" s="398" t="n"/>
      <c r="N20" s="398" t="n"/>
    </row>
    <row r="21" customFormat="1" s="386">
      <c r="A21" s="404" t="n"/>
      <c r="B21" s="392" t="n"/>
      <c r="C21" s="398" t="n"/>
      <c r="D21" s="398" t="n"/>
      <c r="E21" s="398" t="n"/>
      <c r="F21" s="398" t="n"/>
      <c r="G21" s="398" t="n"/>
      <c r="H21" s="398" t="n"/>
      <c r="I21" s="398" t="n"/>
      <c r="J21" s="398" t="n"/>
      <c r="K21" s="398" t="n"/>
      <c r="L21" s="398" t="n"/>
      <c r="M21" s="398" t="n"/>
      <c r="N21" s="398" t="n"/>
    </row>
    <row r="22" ht="32.25" customFormat="1" customHeight="1" s="386">
      <c r="A22" s="404" t="n"/>
      <c r="B22" s="392" t="inlineStr">
        <is>
          <t xml:space="preserve">Launch Services in Central Lusaka </t>
        </is>
      </c>
      <c r="C22" s="398" t="n"/>
      <c r="D22" s="398" t="n"/>
      <c r="E22" s="398" t="n"/>
      <c r="F22" s="398" t="n"/>
      <c r="G22" s="398" t="n"/>
      <c r="H22" s="398" t="n"/>
      <c r="I22" s="398" t="n"/>
      <c r="J22" s="398" t="n"/>
      <c r="K22" s="398" t="n"/>
      <c r="L22" s="398" t="n"/>
      <c r="M22" s="398" t="n"/>
      <c r="N22" s="398" t="n"/>
    </row>
    <row r="23" ht="51" customFormat="1" customHeight="1" s="388">
      <c r="A23" s="405" t="n"/>
      <c r="B23" s="399" t="inlineStr">
        <is>
          <t>Order Fibre back haul @ 10GB</t>
        </is>
      </c>
      <c r="C23" s="399" t="inlineStr">
        <is>
          <t>Pre-sale customer registrations - target 300,000 via email/whatsapp/sms</t>
        </is>
      </c>
      <c r="D23" s="399" t="n"/>
      <c r="E23" s="399" t="n"/>
      <c r="F23" s="399" t="n"/>
      <c r="G23" s="399" t="n"/>
      <c r="H23" s="399" t="n"/>
      <c r="I23" s="399" t="n"/>
      <c r="J23" s="399" t="n"/>
      <c r="K23" s="399" t="n"/>
      <c r="L23" s="399" t="n"/>
      <c r="M23" s="399" t="n"/>
      <c r="N23" s="399" t="n"/>
    </row>
    <row r="24" ht="25.5" customFormat="1" customHeight="1" s="388">
      <c r="A24" s="405" t="n"/>
      <c r="B24" s="393" t="n"/>
      <c r="C24" s="399" t="inlineStr">
        <is>
          <t>Begin Training new recruits</t>
        </is>
      </c>
      <c r="D24" s="399" t="n"/>
      <c r="E24" s="399" t="n"/>
      <c r="F24" s="399" t="n"/>
      <c r="G24" s="399" t="n"/>
      <c r="H24" s="399" t="n"/>
      <c r="I24" s="399" t="n"/>
      <c r="J24" s="399" t="n"/>
      <c r="K24" s="399" t="n"/>
      <c r="L24" s="399" t="n"/>
      <c r="M24" s="399" t="n"/>
      <c r="N24" s="399" t="n"/>
    </row>
    <row r="25" customFormat="1" s="388">
      <c r="A25" s="405" t="n"/>
      <c r="B25" s="393" t="n"/>
      <c r="C25" s="399" t="n"/>
      <c r="D25" s="399" t="n"/>
      <c r="E25" s="399" t="n"/>
      <c r="F25" s="399" t="n"/>
      <c r="G25" s="399" t="n"/>
      <c r="H25" s="399" t="n"/>
      <c r="I25" s="399" t="n"/>
      <c r="J25" s="399" t="n"/>
      <c r="K25" s="399" t="n"/>
      <c r="L25" s="399" t="n"/>
      <c r="M25" s="399" t="n"/>
      <c r="N25" s="399" t="n"/>
    </row>
    <row r="26" ht="25.5" customFormat="1" customHeight="1" s="388">
      <c r="A26" s="405" t="n"/>
      <c r="B26" s="393" t="n"/>
      <c r="C26" s="399" t="inlineStr">
        <is>
          <t>Receive orders of network comonents</t>
        </is>
      </c>
      <c r="D26" s="399" t="n"/>
      <c r="E26" s="399" t="n"/>
      <c r="F26" s="399" t="n"/>
      <c r="G26" s="399" t="n"/>
      <c r="H26" s="399" t="n"/>
      <c r="I26" s="399" t="n"/>
      <c r="J26" s="399" t="n"/>
      <c r="K26" s="399" t="n"/>
      <c r="L26" s="399" t="n"/>
      <c r="M26" s="399" t="n"/>
      <c r="N26" s="399" t="n"/>
    </row>
    <row r="27" customFormat="1" s="388">
      <c r="A27" s="405" t="n"/>
      <c r="B27" s="393" t="n"/>
      <c r="C27" s="399" t="n"/>
      <c r="D27" s="399" t="n"/>
      <c r="E27" s="399" t="n"/>
      <c r="F27" s="399" t="n"/>
      <c r="G27" s="399" t="n"/>
      <c r="H27" s="399" t="n"/>
      <c r="I27" s="399" t="n"/>
      <c r="J27" s="399" t="n"/>
      <c r="K27" s="399" t="n"/>
      <c r="L27" s="399" t="n"/>
      <c r="M27" s="399" t="n"/>
      <c r="N27" s="399" t="n"/>
    </row>
    <row r="28" customFormat="1" s="388">
      <c r="A28" s="405" t="n"/>
      <c r="B28" s="393" t="n"/>
      <c r="C28" s="399" t="n"/>
      <c r="D28" s="399" t="n"/>
      <c r="E28" s="399" t="n"/>
      <c r="F28" s="399" t="n"/>
      <c r="G28" s="399" t="n"/>
      <c r="H28" s="399" t="n"/>
      <c r="I28" s="399" t="n"/>
      <c r="J28" s="399" t="n"/>
      <c r="K28" s="399" t="n"/>
      <c r="L28" s="399" t="n"/>
      <c r="M28" s="399" t="n"/>
      <c r="N28" s="399" t="n"/>
    </row>
    <row r="29" ht="46.5" customFormat="1" customHeight="1" s="389">
      <c r="A29" s="406" t="n"/>
      <c r="B29" s="394" t="inlineStr">
        <is>
          <t>Upgrade backhaul Fibre  capacity to 15Gb</t>
        </is>
      </c>
      <c r="C29" s="400" t="n"/>
      <c r="D29" s="400" t="n"/>
      <c r="E29" s="400" t="n"/>
      <c r="F29" s="400" t="n"/>
      <c r="G29" s="400" t="n"/>
      <c r="H29" s="400" t="n"/>
      <c r="I29" s="400" t="n"/>
      <c r="J29" s="400" t="n"/>
      <c r="K29" s="400" t="n"/>
      <c r="L29" s="400" t="n"/>
      <c r="M29" s="400" t="n"/>
      <c r="N29" s="400" t="n"/>
    </row>
    <row r="30" customFormat="1" s="389">
      <c r="A30" s="406" t="n"/>
      <c r="B30" s="394" t="n"/>
      <c r="C30" s="400" t="n"/>
      <c r="D30" s="400" t="n"/>
      <c r="E30" s="400" t="n"/>
      <c r="F30" s="400" t="n"/>
      <c r="G30" s="400" t="n"/>
      <c r="H30" s="400" t="n"/>
      <c r="I30" s="400" t="n"/>
      <c r="J30" s="400" t="n"/>
      <c r="K30" s="400" t="n"/>
      <c r="L30" s="400" t="n"/>
      <c r="M30" s="400" t="n"/>
      <c r="N30" s="400" t="n"/>
    </row>
    <row r="31" customFormat="1" s="389">
      <c r="A31" s="406" t="n"/>
      <c r="B31" s="394" t="n"/>
      <c r="C31" s="400" t="n"/>
      <c r="D31" s="400" t="n"/>
      <c r="E31" s="400" t="n"/>
      <c r="F31" s="400" t="n"/>
      <c r="G31" s="400" t="n"/>
      <c r="H31" s="400" t="n"/>
      <c r="I31" s="400" t="n"/>
      <c r="J31" s="400" t="n"/>
      <c r="K31" s="400" t="n"/>
      <c r="L31" s="400" t="n"/>
      <c r="M31" s="400" t="n"/>
      <c r="N31" s="400" t="n"/>
    </row>
    <row r="32" customFormat="1" s="389">
      <c r="A32" s="406" t="n"/>
      <c r="B32" s="394" t="n"/>
      <c r="C32" s="400" t="n"/>
      <c r="D32" s="400" t="n"/>
      <c r="E32" s="400" t="n"/>
      <c r="F32" s="400" t="n"/>
      <c r="G32" s="400" t="n"/>
      <c r="H32" s="400" t="n"/>
      <c r="I32" s="400" t="n"/>
      <c r="J32" s="400" t="n"/>
      <c r="K32" s="400" t="n"/>
      <c r="L32" s="400" t="n"/>
      <c r="M32" s="400" t="n"/>
      <c r="N32" s="400" t="n"/>
    </row>
    <row r="33" customFormat="1" s="389">
      <c r="A33" s="406" t="n"/>
      <c r="B33" s="394" t="n"/>
      <c r="C33" s="400" t="n"/>
      <c r="D33" s="400" t="n"/>
      <c r="E33" s="400" t="n"/>
      <c r="F33" s="400" t="n"/>
      <c r="G33" s="400" t="n"/>
      <c r="H33" s="400" t="n"/>
      <c r="I33" s="400" t="n"/>
      <c r="J33" s="400" t="n"/>
      <c r="K33" s="400" t="n"/>
      <c r="L33" s="400" t="n"/>
      <c r="M33" s="400" t="n"/>
      <c r="N33" s="400" t="n"/>
    </row>
    <row r="34" customFormat="1" s="389">
      <c r="A34" s="406" t="n"/>
      <c r="B34" s="394" t="n"/>
      <c r="C34" s="400" t="n"/>
      <c r="D34" s="400" t="n"/>
      <c r="E34" s="400" t="n"/>
      <c r="F34" s="400" t="n"/>
      <c r="G34" s="400" t="n"/>
      <c r="H34" s="400" t="n"/>
      <c r="I34" s="400" t="n"/>
      <c r="J34" s="400" t="n"/>
      <c r="K34" s="400" t="n"/>
      <c r="L34" s="400" t="n"/>
      <c r="M34" s="400" t="n"/>
      <c r="N34" s="400" t="n"/>
    </row>
    <row r="35" customFormat="1" s="389">
      <c r="A35" s="406" t="n"/>
      <c r="B35" s="394" t="n"/>
      <c r="C35" s="400" t="n"/>
      <c r="D35" s="400" t="n"/>
      <c r="E35" s="400" t="n"/>
      <c r="F35" s="400" t="n"/>
      <c r="G35" s="400" t="n"/>
      <c r="H35" s="400" t="n"/>
      <c r="I35" s="400" t="n"/>
      <c r="J35" s="400" t="n"/>
      <c r="K35" s="400" t="n"/>
      <c r="L35" s="400" t="n"/>
      <c r="M35" s="400" t="n"/>
      <c r="N35" s="400" t="n"/>
    </row>
    <row r="36" customFormat="1" s="389">
      <c r="A36" s="406" t="n"/>
      <c r="B36" s="394" t="n"/>
      <c r="C36" s="400" t="n"/>
      <c r="D36" s="400" t="n"/>
      <c r="E36" s="400" t="n"/>
      <c r="F36" s="400" t="n"/>
      <c r="G36" s="400" t="n"/>
      <c r="H36" s="400" t="n"/>
      <c r="I36" s="400" t="n"/>
      <c r="J36" s="400" t="n"/>
      <c r="K36" s="400" t="n"/>
      <c r="L36" s="400" t="n"/>
      <c r="M36" s="400" t="n"/>
      <c r="N36" s="400" t="n"/>
    </row>
  </sheetData>
  <pageMargins left="0.25" right="0.25" top="0.75" bottom="0.75" header="0.3" footer="0.3"/>
  <pageSetup orientation="landscape" paperSize="9" scale="88"/>
  <rowBreaks count="1" manualBreakCount="1">
    <brk id="15" min="0" max="16383" man="1"/>
  </rowBreaks>
  <colBreaks count="1" manualBreakCount="1">
    <brk id="8" min="0" max="1048575" man="1"/>
  </colBreaks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N48"/>
  <sheetViews>
    <sheetView view="pageBreakPreview" topLeftCell="A9" zoomScaleNormal="85" zoomScaleSheetLayoutView="100" workbookViewId="0">
      <selection activeCell="B2" sqref="B2"/>
    </sheetView>
  </sheetViews>
  <sheetFormatPr baseColWidth="8" defaultRowHeight="18"/>
  <cols>
    <col width="14.28515625" customWidth="1" style="402" min="1" max="1"/>
    <col width="21.5703125" customWidth="1" style="395" min="2" max="13"/>
    <col width="21.5703125" customWidth="1" style="383" min="14" max="14"/>
  </cols>
  <sheetData>
    <row r="2" ht="42.75" customHeight="1">
      <c r="B2" s="410" t="inlineStr">
        <is>
          <t>Assumptions</t>
        </is>
      </c>
      <c r="D2" s="412" t="inlineStr">
        <is>
          <t>Total Funding request</t>
        </is>
      </c>
      <c r="E2" s="411" t="inlineStr">
        <is>
          <t>Disbursements (quarterly)</t>
        </is>
      </c>
    </row>
    <row r="3" ht="30.75" customHeight="1">
      <c r="B3" s="407" t="n"/>
      <c r="D3" s="413" t="inlineStr">
        <is>
          <t>$25,000,000 USD</t>
        </is>
      </c>
      <c r="E3" s="395" t="inlineStr">
        <is>
          <t>Disbursement 1: $6,500,000</t>
        </is>
      </c>
    </row>
    <row r="4" ht="29.25" customHeight="1">
      <c r="B4" s="407" t="n"/>
      <c r="D4" s="412" t="n"/>
      <c r="E4" s="395" t="inlineStr">
        <is>
          <t>Disbursement 2: $6,500,001</t>
        </is>
      </c>
      <c r="G4" s="395" t="inlineStr">
        <is>
          <t>Lord Allan Okello</t>
        </is>
      </c>
    </row>
    <row r="5" ht="31.5" customHeight="1">
      <c r="B5" s="407" t="n"/>
      <c r="D5" s="412" t="n"/>
      <c r="E5" s="395" t="inlineStr">
        <is>
          <t>Disbursement 3: $6,500,002</t>
        </is>
      </c>
      <c r="G5" s="395" t="inlineStr">
        <is>
          <t>Signed:</t>
        </is>
      </c>
    </row>
    <row r="6" ht="42.75" customHeight="1">
      <c r="B6" s="407" t="n"/>
      <c r="D6" s="414" t="n"/>
      <c r="E6" s="395" t="inlineStr">
        <is>
          <t>Disbursement 4: $6,500,002</t>
        </is>
      </c>
      <c r="G6" s="395" t="inlineStr">
        <is>
          <t>Plexus Wifi, 3rd Floor, 86-90 Paul Street, London, EC2A 4NE</t>
        </is>
      </c>
    </row>
    <row r="7" ht="36.75" customHeight="1">
      <c r="A7" s="401" t="inlineStr">
        <is>
          <t>PROJECT TIMELINE</t>
        </is>
      </c>
      <c r="G7" s="467" t="inlineStr">
        <is>
          <t>www.plexuswifi.co.uk</t>
        </is>
      </c>
    </row>
    <row r="8" ht="18.75" customHeight="1" thickBot="1"/>
    <row r="9" ht="30" customHeight="1">
      <c r="A9" s="430" t="n"/>
      <c r="B9" s="439" t="inlineStr">
        <is>
          <t>Action</t>
        </is>
      </c>
      <c r="C9" s="439" t="inlineStr">
        <is>
          <t>Timeline</t>
        </is>
      </c>
      <c r="D9" s="439" t="inlineStr">
        <is>
          <t>Cost</t>
        </is>
      </c>
      <c r="E9" s="439" t="inlineStr">
        <is>
          <t>Total</t>
        </is>
      </c>
      <c r="F9" s="431" t="n"/>
      <c r="G9" s="431" t="n"/>
      <c r="H9" s="432" t="n"/>
      <c r="I9" s="428" t="n"/>
      <c r="J9" s="396" t="n"/>
      <c r="K9" s="396" t="n"/>
      <c r="L9" s="396" t="n"/>
      <c r="M9" s="396" t="n"/>
      <c r="N9" s="396" t="n"/>
    </row>
    <row r="10" ht="51.75" customFormat="1" customHeight="1" s="384">
      <c r="A10" s="433" t="inlineStr">
        <is>
          <t>Quarter 1</t>
        </is>
      </c>
      <c r="B10" s="391" t="inlineStr">
        <is>
          <t>Expand license parameters to full scale to offer ancilliary services</t>
        </is>
      </c>
      <c r="C10" s="391" t="inlineStr">
        <is>
          <t>12 weeks</t>
        </is>
      </c>
      <c r="D10" s="509" t="n">
        <v>2736.35</v>
      </c>
      <c r="E10" s="510">
        <f>SUM(D10:D20)</f>
        <v/>
      </c>
      <c r="F10" s="397" t="n"/>
      <c r="G10" s="397" t="n"/>
      <c r="H10" s="434" t="n"/>
      <c r="I10" s="429" t="n"/>
      <c r="J10" s="397" t="n"/>
      <c r="K10" s="397" t="n"/>
      <c r="L10" s="397" t="n"/>
      <c r="M10" s="397" t="n"/>
      <c r="N10" s="397" t="n"/>
    </row>
    <row r="11" ht="39" customFormat="1" customHeight="1" s="384">
      <c r="A11" s="433" t="n"/>
      <c r="B11" s="391" t="inlineStr">
        <is>
          <t>Source new warehouse/HQ and source</t>
        </is>
      </c>
      <c r="C11" s="391" t="inlineStr">
        <is>
          <t>2 weeks</t>
        </is>
      </c>
      <c r="D11" s="511" t="n">
        <v>12000</v>
      </c>
      <c r="E11" s="512" t="n"/>
      <c r="F11" s="397" t="n"/>
      <c r="G11" s="397" t="n"/>
      <c r="H11" s="434" t="n"/>
      <c r="I11" s="429" t="n"/>
      <c r="J11" s="397" t="n"/>
      <c r="K11" s="397" t="n"/>
      <c r="L11" s="397" t="n"/>
      <c r="M11" s="397" t="n"/>
      <c r="N11" s="397" t="n"/>
    </row>
    <row r="12" ht="40.5" customFormat="1" customHeight="1" s="384">
      <c r="A12" s="433" t="n"/>
      <c r="B12" s="391" t="inlineStr">
        <is>
          <t>order network components for full rollout</t>
        </is>
      </c>
      <c r="C12" s="391" t="inlineStr">
        <is>
          <t>4 weeks</t>
        </is>
      </c>
      <c r="D12" s="511" t="n">
        <v>6000000</v>
      </c>
      <c r="E12" s="512" t="n"/>
      <c r="F12" s="397" t="n"/>
      <c r="G12" s="397" t="n"/>
      <c r="H12" s="434" t="n"/>
      <c r="I12" s="429" t="n"/>
      <c r="J12" s="397" t="n"/>
      <c r="K12" s="397" t="n"/>
      <c r="L12" s="397" t="n"/>
      <c r="M12" s="397" t="n"/>
      <c r="N12" s="397" t="n"/>
    </row>
    <row r="13" ht="28.5" customFormat="1" customHeight="1" s="384">
      <c r="A13" s="433" t="n"/>
      <c r="B13" s="391" t="inlineStr">
        <is>
          <t>install office equipment and furniture</t>
        </is>
      </c>
      <c r="C13" s="391" t="inlineStr">
        <is>
          <t>2 weeks</t>
        </is>
      </c>
      <c r="D13" s="511" t="n">
        <v>10000</v>
      </c>
      <c r="E13" s="512" t="n"/>
      <c r="F13" s="397" t="n"/>
      <c r="G13" s="397" t="n"/>
      <c r="H13" s="434" t="n"/>
      <c r="I13" s="429" t="n"/>
      <c r="J13" s="397" t="n"/>
      <c r="K13" s="397" t="n"/>
      <c r="L13" s="397" t="n"/>
      <c r="M13" s="397" t="n"/>
      <c r="N13" s="397" t="n"/>
    </row>
    <row r="14" ht="28.5" customFormat="1" customHeight="1" s="384">
      <c r="A14" s="433" t="n"/>
      <c r="B14" s="391" t="inlineStr">
        <is>
          <t>Recruit core function team</t>
        </is>
      </c>
      <c r="C14" s="391" t="inlineStr">
        <is>
          <t>4 weeks</t>
        </is>
      </c>
      <c r="D14" s="511" t="n"/>
      <c r="E14" s="512" t="n"/>
      <c r="F14" s="397" t="n"/>
      <c r="G14" s="397" t="n"/>
      <c r="H14" s="434" t="n"/>
      <c r="I14" s="429" t="n"/>
      <c r="J14" s="397" t="n"/>
      <c r="K14" s="397" t="n"/>
      <c r="L14" s="397" t="n"/>
      <c r="M14" s="397" t="n"/>
      <c r="N14" s="397" t="n"/>
    </row>
    <row r="15" ht="29.25" customFormat="1" customHeight="1" s="384">
      <c r="A15" s="433" t="n"/>
      <c r="B15" s="391" t="inlineStr">
        <is>
          <t>Install security for assets and property</t>
        </is>
      </c>
      <c r="C15" s="391" t="inlineStr">
        <is>
          <t>2 weeks</t>
        </is>
      </c>
      <c r="D15" s="511" t="n">
        <v>5000</v>
      </c>
      <c r="E15" s="512" t="n"/>
      <c r="F15" s="397" t="n"/>
      <c r="G15" s="397" t="n"/>
      <c r="H15" s="434" t="n"/>
      <c r="I15" s="429" t="n"/>
      <c r="J15" s="397" t="n"/>
      <c r="K15" s="397" t="n"/>
      <c r="L15" s="397" t="n"/>
      <c r="M15" s="397" t="n"/>
      <c r="N15" s="397" t="n"/>
    </row>
    <row r="16" ht="31.5" customFormat="1" customHeight="1" s="384">
      <c r="A16" s="433" t="n"/>
      <c r="B16" s="391" t="inlineStr">
        <is>
          <t>Build inventory infrastructure</t>
        </is>
      </c>
      <c r="C16" s="385" t="inlineStr">
        <is>
          <t>2 weeks</t>
        </is>
      </c>
      <c r="D16" s="511" t="n">
        <v>2500</v>
      </c>
      <c r="E16" s="512" t="n"/>
      <c r="F16" s="397" t="n"/>
      <c r="G16" s="397" t="n"/>
      <c r="H16" s="434" t="n"/>
      <c r="I16" s="429" t="n"/>
      <c r="J16" s="397" t="n"/>
      <c r="K16" s="397" t="n"/>
      <c r="L16" s="397" t="n"/>
      <c r="M16" s="397" t="n"/>
      <c r="N16" s="397" t="n"/>
    </row>
    <row r="17" ht="39" customFormat="1" customHeight="1" s="384">
      <c r="A17" s="433" t="n"/>
      <c r="B17" s="391" t="inlineStr">
        <is>
          <t>Order network components for training purposes</t>
        </is>
      </c>
      <c r="C17" s="391" t="inlineStr">
        <is>
          <t>1 weeks</t>
        </is>
      </c>
      <c r="D17" s="511" t="n"/>
      <c r="E17" s="512" t="n"/>
      <c r="F17" s="397" t="n"/>
      <c r="G17" s="397" t="n"/>
      <c r="H17" s="434" t="n"/>
      <c r="I17" s="429" t="n"/>
      <c r="J17" s="397" t="n"/>
      <c r="K17" s="397" t="n"/>
      <c r="L17" s="397" t="n"/>
      <c r="M17" s="397" t="n"/>
      <c r="N17" s="397" t="n"/>
    </row>
    <row r="18" customFormat="1" s="384">
      <c r="A18" s="433" t="n"/>
      <c r="B18" s="391" t="inlineStr">
        <is>
          <t>Operating expenses</t>
        </is>
      </c>
      <c r="C18" s="391" t="inlineStr">
        <is>
          <t>12 weeks</t>
        </is>
      </c>
      <c r="D18" s="511" t="n">
        <v>207000</v>
      </c>
      <c r="E18" s="512" t="n"/>
      <c r="F18" s="397" t="n"/>
      <c r="G18" s="397" t="n"/>
      <c r="H18" s="434" t="n"/>
      <c r="I18" s="429" t="n"/>
      <c r="J18" s="397" t="n"/>
      <c r="K18" s="397" t="n"/>
      <c r="L18" s="397" t="n"/>
      <c r="M18" s="397" t="n"/>
      <c r="N18" s="397" t="n"/>
    </row>
    <row r="19" ht="30.75" customFormat="1" customHeight="1" s="384">
      <c r="A19" s="433" t="n"/>
      <c r="B19" s="391" t="inlineStr">
        <is>
          <t>Order vehicals needed</t>
        </is>
      </c>
      <c r="C19" s="391" t="inlineStr">
        <is>
          <t>4 weeks</t>
        </is>
      </c>
      <c r="D19" s="511" t="n"/>
      <c r="E19" s="512" t="n"/>
      <c r="F19" s="397" t="n"/>
      <c r="G19" s="397" t="n"/>
      <c r="H19" s="434" t="n"/>
      <c r="I19" s="429" t="n"/>
      <c r="J19" s="397" t="n"/>
      <c r="K19" s="397" t="n"/>
      <c r="L19" s="397" t="n"/>
      <c r="M19" s="397" t="n"/>
      <c r="N19" s="397" t="n"/>
    </row>
    <row r="20" ht="39" customFormat="1" customHeight="1" s="384" thickBot="1">
      <c r="A20" s="435" t="n"/>
      <c r="B20" s="436" t="inlineStr">
        <is>
          <t>Configure and program master network</t>
        </is>
      </c>
      <c r="C20" s="436" t="inlineStr">
        <is>
          <t>1 day</t>
        </is>
      </c>
      <c r="D20" s="513" t="n"/>
      <c r="E20" s="514" t="n"/>
      <c r="F20" s="437" t="n"/>
      <c r="G20" s="437" t="n"/>
      <c r="H20" s="438" t="n"/>
      <c r="I20" s="429" t="n"/>
      <c r="J20" s="397" t="n"/>
      <c r="K20" s="397" t="n"/>
      <c r="L20" s="397" t="n"/>
      <c r="M20" s="397" t="n"/>
      <c r="N20" s="397" t="n"/>
    </row>
    <row r="21" ht="33.75" customHeight="1" thickBot="1">
      <c r="B21" s="439" t="inlineStr">
        <is>
          <t>Action</t>
        </is>
      </c>
      <c r="C21" s="439" t="inlineStr">
        <is>
          <t>Timeline</t>
        </is>
      </c>
      <c r="D21" s="439" t="inlineStr">
        <is>
          <t>Cost</t>
        </is>
      </c>
      <c r="E21" s="439" t="inlineStr">
        <is>
          <t>Total</t>
        </is>
      </c>
    </row>
    <row r="22" ht="30" customFormat="1" customHeight="1" s="386">
      <c r="A22" s="418" t="inlineStr">
        <is>
          <t>Quarter 2</t>
        </is>
      </c>
      <c r="B22" s="419" t="inlineStr">
        <is>
          <t>Recruit network management teams</t>
        </is>
      </c>
      <c r="C22" s="452" t="inlineStr">
        <is>
          <t>4 weeks</t>
        </is>
      </c>
      <c r="D22" s="515" t="n">
        <v>10000</v>
      </c>
      <c r="E22" s="516">
        <f>SUM(D22:D30)</f>
        <v/>
      </c>
      <c r="F22" s="420" t="n"/>
      <c r="G22" s="420" t="n"/>
      <c r="H22" s="421" t="n"/>
      <c r="I22" s="416" t="n"/>
      <c r="J22" s="398" t="n"/>
      <c r="K22" s="398" t="n"/>
      <c r="L22" s="398" t="n"/>
      <c r="M22" s="398" t="n"/>
      <c r="N22" s="398" t="n"/>
    </row>
    <row r="23" ht="32.25" customFormat="1" customHeight="1" s="386">
      <c r="A23" s="422" t="n"/>
      <c r="B23" s="451" t="inlineStr">
        <is>
          <t>Order mounting and fixtures</t>
        </is>
      </c>
      <c r="C23" s="392" t="inlineStr">
        <is>
          <t>2 weeks</t>
        </is>
      </c>
      <c r="D23" s="517" t="n">
        <v>1132650</v>
      </c>
      <c r="E23" s="512" t="n"/>
      <c r="F23" s="398" t="n"/>
      <c r="G23" s="398" t="n"/>
      <c r="H23" s="423" t="n"/>
      <c r="I23" s="416" t="n"/>
      <c r="J23" s="398" t="n"/>
      <c r="K23" s="398" t="n"/>
      <c r="L23" s="398" t="n"/>
      <c r="M23" s="398" t="n"/>
      <c r="N23" s="398" t="n"/>
    </row>
    <row r="24" ht="33" customFormat="1" customHeight="1" s="386">
      <c r="A24" s="422" t="n"/>
      <c r="B24" s="392" t="inlineStr">
        <is>
          <t>Order Fibre back haul @ 10GB</t>
        </is>
      </c>
      <c r="C24" s="387" t="inlineStr">
        <is>
          <t>6 weeks</t>
        </is>
      </c>
      <c r="D24" s="518" t="n">
        <v>616000</v>
      </c>
      <c r="E24" s="512" t="n"/>
      <c r="F24" s="398" t="n"/>
      <c r="G24" s="398" t="n"/>
      <c r="H24" s="423" t="n"/>
      <c r="I24" s="416" t="n"/>
      <c r="J24" s="398" t="n"/>
      <c r="K24" s="398" t="n"/>
      <c r="L24" s="398" t="n"/>
      <c r="M24" s="398" t="n"/>
      <c r="N24" s="398" t="n"/>
    </row>
    <row r="25" ht="33" customFormat="1" customHeight="1" s="386">
      <c r="A25" s="422" t="n"/>
      <c r="B25" s="392" t="inlineStr">
        <is>
          <t>Begin seed marketing (press releases)</t>
        </is>
      </c>
      <c r="C25" s="392" t="inlineStr">
        <is>
          <t>4 weeks</t>
        </is>
      </c>
      <c r="D25" s="518" t="n">
        <v>2000</v>
      </c>
      <c r="E25" s="512" t="n"/>
      <c r="F25" s="398" t="n"/>
      <c r="G25" s="398" t="n"/>
      <c r="H25" s="423" t="n"/>
      <c r="I25" s="416" t="n"/>
      <c r="J25" s="398" t="n"/>
      <c r="K25" s="398" t="n"/>
      <c r="L25" s="398" t="n"/>
      <c r="M25" s="398" t="n"/>
      <c r="N25" s="398" t="n"/>
    </row>
    <row r="26" ht="35.25" customFormat="1" customHeight="1" s="386">
      <c r="A26" s="422" t="n"/>
      <c r="B26" s="392" t="inlineStr">
        <is>
          <t>Recruit installers and custmer services team</t>
        </is>
      </c>
      <c r="C26" s="392" t="inlineStr">
        <is>
          <t>4 weeks</t>
        </is>
      </c>
      <c r="D26" s="519" t="n">
        <v>10000</v>
      </c>
      <c r="E26" s="512" t="n"/>
      <c r="F26" s="398" t="n"/>
      <c r="G26" s="398" t="n"/>
      <c r="H26" s="423" t="n"/>
      <c r="I26" s="416" t="n"/>
      <c r="J26" s="398" t="n"/>
      <c r="K26" s="398" t="n"/>
      <c r="L26" s="398" t="n"/>
      <c r="M26" s="398" t="n"/>
      <c r="N26" s="398" t="n"/>
    </row>
    <row r="27" ht="24.75" customFormat="1" customHeight="1" s="386">
      <c r="A27" s="422" t="n"/>
      <c r="B27" s="392" t="inlineStr">
        <is>
          <t>Install network</t>
        </is>
      </c>
      <c r="C27" s="392" t="inlineStr">
        <is>
          <t>12 weeks</t>
        </is>
      </c>
      <c r="D27" s="518" t="n">
        <v>475000</v>
      </c>
      <c r="E27" s="512" t="n"/>
      <c r="F27" s="398" t="n"/>
      <c r="G27" s="398" t="n"/>
      <c r="H27" s="423" t="n"/>
      <c r="I27" s="416" t="n"/>
      <c r="J27" s="398" t="n"/>
      <c r="K27" s="398" t="n"/>
      <c r="L27" s="398" t="n"/>
      <c r="M27" s="398" t="n"/>
      <c r="N27" s="398" t="n"/>
    </row>
    <row r="28" ht="55.5" customFormat="1" customHeight="1" s="386">
      <c r="A28" s="422" t="n"/>
      <c r="B28" s="392" t="inlineStr">
        <is>
          <t>Pre-sale customer registrations - target 300,000 via email/whatsapp/sms</t>
        </is>
      </c>
      <c r="C28" s="392" t="inlineStr">
        <is>
          <t>4 weeks</t>
        </is>
      </c>
      <c r="D28" s="518" t="n">
        <v>40000</v>
      </c>
      <c r="E28" s="512" t="n"/>
      <c r="F28" s="398" t="n"/>
      <c r="G28" s="398" t="n"/>
      <c r="H28" s="423" t="n"/>
      <c r="I28" s="416" t="n"/>
      <c r="J28" s="398" t="n"/>
      <c r="K28" s="398" t="n"/>
      <c r="L28" s="398" t="n"/>
      <c r="M28" s="398" t="n"/>
      <c r="N28" s="398" t="n"/>
    </row>
    <row r="29" ht="42" customFormat="1" customHeight="1" s="386">
      <c r="A29" s="422" t="n"/>
      <c r="B29" s="392" t="inlineStr">
        <is>
          <t>Pre-launch marketing starts (social media/ search campaigns/etc)</t>
        </is>
      </c>
      <c r="C29" s="392" t="inlineStr">
        <is>
          <t>2 weeks</t>
        </is>
      </c>
      <c r="D29" s="518" t="n">
        <v>10000</v>
      </c>
      <c r="E29" s="512" t="n"/>
      <c r="F29" s="398" t="n"/>
      <c r="G29" s="398" t="n"/>
      <c r="H29" s="423" t="n"/>
      <c r="I29" s="416" t="n"/>
      <c r="J29" s="398" t="n"/>
      <c r="K29" s="398" t="n"/>
      <c r="L29" s="398" t="n"/>
      <c r="M29" s="398" t="n"/>
      <c r="N29" s="398" t="n"/>
    </row>
    <row r="30" ht="31.5" customFormat="1" customHeight="1" s="386" thickBot="1">
      <c r="A30" s="424" t="n"/>
      <c r="B30" s="425" t="inlineStr">
        <is>
          <t>Begin Training new recruits</t>
        </is>
      </c>
      <c r="C30" s="425" t="inlineStr">
        <is>
          <t>1 weeks</t>
        </is>
      </c>
      <c r="D30" s="520" t="n">
        <v>10000</v>
      </c>
      <c r="E30" s="514" t="n"/>
      <c r="F30" s="426" t="n"/>
      <c r="G30" s="426" t="n"/>
      <c r="H30" s="427" t="n"/>
      <c r="I30" s="416" t="n"/>
      <c r="J30" s="398" t="n"/>
      <c r="K30" s="398" t="n"/>
      <c r="L30" s="398" t="n"/>
      <c r="M30" s="398" t="n"/>
      <c r="N30" s="398" t="n"/>
    </row>
    <row r="31" ht="31.5" customHeight="1">
      <c r="B31" s="439" t="inlineStr">
        <is>
          <t>Action</t>
        </is>
      </c>
      <c r="C31" s="439" t="inlineStr">
        <is>
          <t>Timeline</t>
        </is>
      </c>
      <c r="D31" s="439" t="inlineStr">
        <is>
          <t>Cost</t>
        </is>
      </c>
      <c r="E31" s="439" t="inlineStr">
        <is>
          <t>Total</t>
        </is>
      </c>
    </row>
    <row r="32" ht="33.75" customFormat="1" customHeight="1" s="388">
      <c r="A32" s="405" t="inlineStr">
        <is>
          <t>Quarter 3</t>
        </is>
      </c>
      <c r="B32" s="459" t="inlineStr">
        <is>
          <t xml:space="preserve">Launch Services in Central Lusaka </t>
        </is>
      </c>
      <c r="C32" s="459" t="n"/>
      <c r="D32" s="521">
        <f>Assums!C32*3</f>
        <v/>
      </c>
      <c r="E32" s="522">
        <f>SUM(D32:D38)</f>
        <v/>
      </c>
      <c r="F32" s="417" t="n"/>
      <c r="G32" s="417" t="n"/>
      <c r="H32" s="417" t="n"/>
      <c r="I32" s="399" t="n"/>
      <c r="J32" s="399" t="n"/>
      <c r="K32" s="399" t="n"/>
      <c r="L32" s="399" t="n"/>
      <c r="M32" s="399" t="n"/>
      <c r="N32" s="399" t="n"/>
    </row>
    <row r="33" ht="29.25" customFormat="1" customHeight="1" s="388">
      <c r="A33" s="405" t="n"/>
      <c r="B33" s="393" t="inlineStr">
        <is>
          <t>Full blast TV and radio ads</t>
        </is>
      </c>
      <c r="C33" s="393" t="n"/>
      <c r="D33" s="523" t="n">
        <v>3500000</v>
      </c>
      <c r="E33" s="512" t="n"/>
      <c r="F33" s="399" t="n"/>
      <c r="G33" s="399" t="n"/>
      <c r="H33" s="399" t="n"/>
      <c r="I33" s="399" t="n"/>
      <c r="J33" s="399" t="n"/>
      <c r="K33" s="399" t="n"/>
      <c r="L33" s="399" t="n"/>
      <c r="M33" s="399" t="n"/>
      <c r="N33" s="399" t="n"/>
    </row>
    <row r="34" ht="30.75" customFormat="1" customHeight="1" s="388">
      <c r="A34" s="405" t="n"/>
      <c r="B34" s="393" t="inlineStr">
        <is>
          <t>Activate 10 year full infrastructure license</t>
        </is>
      </c>
      <c r="C34" s="393" t="n"/>
      <c r="D34" s="523" t="n">
        <v>147761.69</v>
      </c>
      <c r="E34" s="512" t="n"/>
      <c r="F34" s="399" t="n"/>
      <c r="G34" s="399" t="n"/>
      <c r="H34" s="399" t="n"/>
      <c r="I34" s="399" t="n"/>
      <c r="J34" s="399" t="n"/>
      <c r="K34" s="399" t="n"/>
      <c r="L34" s="399" t="n"/>
      <c r="M34" s="399" t="n"/>
      <c r="N34" s="399" t="n"/>
    </row>
    <row r="35" ht="39.75" customFormat="1" customHeight="1" s="388">
      <c r="A35" s="405" t="n"/>
      <c r="B35" s="393" t="inlineStr">
        <is>
          <t>Launch services in Copperbelt and Livingstone</t>
        </is>
      </c>
      <c r="C35" s="393" t="n"/>
      <c r="D35" s="523" t="n">
        <v>300000</v>
      </c>
      <c r="E35" s="512" t="n"/>
      <c r="F35" s="399" t="n"/>
      <c r="G35" s="399" t="n"/>
      <c r="H35" s="399" t="n"/>
      <c r="I35" s="399" t="n"/>
      <c r="J35" s="399" t="n"/>
      <c r="K35" s="399" t="n"/>
      <c r="L35" s="399" t="n"/>
      <c r="M35" s="399" t="n"/>
      <c r="N35" s="399" t="n"/>
    </row>
    <row r="36" customFormat="1" s="388">
      <c r="A36" s="405" t="n"/>
      <c r="B36" s="393" t="inlineStr">
        <is>
          <t>Operation costs</t>
        </is>
      </c>
      <c r="C36" s="393" t="inlineStr">
        <is>
          <t>ongoing</t>
        </is>
      </c>
      <c r="D36" s="523">
        <f>Calc!H55</f>
        <v/>
      </c>
      <c r="E36" s="512" t="n"/>
      <c r="F36" s="399" t="n"/>
      <c r="G36" s="399" t="n"/>
      <c r="H36" s="399" t="n"/>
      <c r="I36" s="399" t="n"/>
      <c r="J36" s="399" t="n"/>
      <c r="K36" s="399" t="n"/>
      <c r="L36" s="399" t="n"/>
      <c r="M36" s="399" t="n"/>
      <c r="N36" s="399" t="n"/>
    </row>
    <row r="37" ht="31.5" customFormat="1" customHeight="1" s="388">
      <c r="A37" s="405" t="n"/>
      <c r="B37" s="393" t="inlineStr">
        <is>
          <t>Upgrade backhaul Fibre  capacity to 15Gb</t>
        </is>
      </c>
      <c r="C37" s="393" t="inlineStr">
        <is>
          <t>instant</t>
        </is>
      </c>
      <c r="D37" s="523" t="n"/>
      <c r="E37" s="512" t="n"/>
      <c r="F37" s="399" t="n"/>
      <c r="G37" s="399" t="n"/>
      <c r="H37" s="399" t="n"/>
      <c r="I37" s="399" t="n"/>
      <c r="J37" s="399" t="n"/>
      <c r="K37" s="399" t="n"/>
      <c r="L37" s="399" t="n"/>
      <c r="M37" s="399" t="n"/>
      <c r="N37" s="399" t="n"/>
    </row>
    <row r="38" ht="32.25" customFormat="1" customHeight="1" s="388" thickBot="1">
      <c r="A38" s="405" t="n"/>
      <c r="B38" s="441" t="n"/>
      <c r="C38" s="441" t="n"/>
      <c r="D38" s="524" t="n"/>
      <c r="E38" s="514" t="n"/>
      <c r="F38" s="442" t="n"/>
      <c r="G38" s="442" t="n"/>
      <c r="H38" s="442" t="n"/>
      <c r="I38" s="399" t="n"/>
      <c r="J38" s="399" t="n"/>
      <c r="K38" s="399" t="n"/>
      <c r="L38" s="399" t="n"/>
      <c r="M38" s="399" t="n"/>
      <c r="N38" s="399" t="n"/>
    </row>
    <row r="39" ht="32.25" customHeight="1">
      <c r="A39" s="443" t="n"/>
      <c r="B39" s="439" t="inlineStr">
        <is>
          <t>Action</t>
        </is>
      </c>
      <c r="C39" s="439" t="inlineStr">
        <is>
          <t>Timeline</t>
        </is>
      </c>
      <c r="D39" s="439" t="inlineStr">
        <is>
          <t>Cost</t>
        </is>
      </c>
      <c r="E39" s="439" t="inlineStr">
        <is>
          <t>Total</t>
        </is>
      </c>
      <c r="F39" s="328" t="n"/>
      <c r="G39" s="328" t="n"/>
      <c r="H39" s="329" t="n"/>
    </row>
    <row r="40" ht="101.25" customFormat="1" customHeight="1" s="389">
      <c r="A40" s="444" t="inlineStr">
        <is>
          <t>Quarter 4</t>
        </is>
      </c>
      <c r="B40" s="394" t="inlineStr">
        <is>
          <t>Begin agressive implementation with sponsorships, competitions, partnerships and celebritty brand associations</t>
        </is>
      </c>
      <c r="C40" s="394" t="n"/>
      <c r="D40" s="525" t="n"/>
      <c r="E40" s="526">
        <f>SUM(D40:D45)</f>
        <v/>
      </c>
      <c r="F40" s="400" t="n"/>
      <c r="G40" s="400" t="n"/>
      <c r="H40" s="445" t="n"/>
      <c r="I40" s="440" t="n"/>
      <c r="J40" s="400" t="n"/>
      <c r="K40" s="400" t="n"/>
      <c r="L40" s="400" t="n"/>
      <c r="M40" s="400" t="n"/>
      <c r="N40" s="400" t="n"/>
    </row>
    <row r="41" ht="36.75" customFormat="1" customHeight="1" s="389">
      <c r="A41" s="444" t="n"/>
      <c r="B41" s="394" t="inlineStr">
        <is>
          <t>Upgrade backhaul Fibre  capacity to 25Gb</t>
        </is>
      </c>
      <c r="C41" s="394" t="n"/>
      <c r="D41" s="525" t="n">
        <v>1100000</v>
      </c>
      <c r="E41" s="512" t="n"/>
      <c r="F41" s="400" t="n"/>
      <c r="G41" s="400" t="n"/>
      <c r="H41" s="445" t="n"/>
      <c r="I41" s="440" t="n"/>
      <c r="J41" s="400" t="n"/>
      <c r="K41" s="400" t="n"/>
      <c r="L41" s="400" t="n"/>
      <c r="M41" s="400" t="n"/>
      <c r="N41" s="400" t="n"/>
    </row>
    <row r="42" ht="30" customFormat="1" customHeight="1" s="389">
      <c r="A42" s="444" t="n"/>
      <c r="B42" s="394" t="inlineStr">
        <is>
          <t>brand awareness marketing</t>
        </is>
      </c>
      <c r="C42" s="394" t="n"/>
      <c r="D42" s="525">
        <f>Assums!C32*3</f>
        <v/>
      </c>
      <c r="E42" s="512" t="n"/>
      <c r="F42" s="400" t="n"/>
      <c r="G42" s="400" t="n"/>
      <c r="H42" s="445" t="n"/>
      <c r="I42" s="440" t="n"/>
      <c r="J42" s="400" t="n"/>
      <c r="K42" s="400" t="n"/>
      <c r="L42" s="400" t="n"/>
      <c r="M42" s="400" t="n"/>
      <c r="N42" s="400" t="n"/>
    </row>
    <row r="43" ht="85.5" customFormat="1" customHeight="1" s="389">
      <c r="A43" s="444" t="n"/>
      <c r="B43" s="394" t="inlineStr">
        <is>
          <t>Build Datacentres for additional resilience and local IXP services for lower latency and faster access to international services</t>
        </is>
      </c>
      <c r="C43" s="394" t="n"/>
      <c r="D43" s="525" t="n">
        <v>2500000</v>
      </c>
      <c r="E43" s="512" t="n"/>
      <c r="F43" s="400" t="n"/>
      <c r="G43" s="400" t="n"/>
      <c r="H43" s="445" t="n"/>
      <c r="I43" s="440" t="n"/>
      <c r="J43" s="400" t="n"/>
      <c r="K43" s="400" t="n"/>
      <c r="L43" s="400" t="n"/>
      <c r="M43" s="400" t="n"/>
      <c r="N43" s="400" t="n"/>
    </row>
    <row r="44" customFormat="1" s="389">
      <c r="A44" s="444" t="n"/>
      <c r="B44" s="394" t="inlineStr">
        <is>
          <t>operating costs</t>
        </is>
      </c>
      <c r="C44" s="394" t="inlineStr">
        <is>
          <t>ongoing</t>
        </is>
      </c>
      <c r="D44" s="525">
        <f>Calc!I55*3</f>
        <v/>
      </c>
      <c r="E44" s="512" t="n"/>
      <c r="F44" s="400" t="n"/>
      <c r="G44" s="400" t="n"/>
      <c r="H44" s="445" t="n"/>
      <c r="I44" s="440" t="n"/>
      <c r="J44" s="400" t="n"/>
      <c r="K44" s="400" t="n"/>
      <c r="L44" s="400" t="n"/>
      <c r="M44" s="400" t="n"/>
      <c r="N44" s="400" t="n"/>
    </row>
    <row r="45" ht="18.75" customFormat="1" customHeight="1" s="389" thickBot="1">
      <c r="A45" s="446" t="n"/>
      <c r="B45" s="447" t="n"/>
      <c r="C45" s="447" t="n"/>
      <c r="D45" s="527" t="n"/>
      <c r="E45" s="514" t="n"/>
      <c r="F45" s="448" t="n"/>
      <c r="G45" s="448" t="n"/>
      <c r="H45" s="449" t="n"/>
      <c r="I45" s="440" t="n"/>
      <c r="J45" s="400" t="n"/>
      <c r="K45" s="400" t="n"/>
      <c r="L45" s="400" t="n"/>
      <c r="M45" s="400" t="n"/>
      <c r="N45" s="400" t="n"/>
    </row>
    <row r="48">
      <c r="E48" s="528">
        <f>SUM(E10,E22,E32,E40)</f>
        <v/>
      </c>
    </row>
  </sheetData>
  <mergeCells count="4">
    <mergeCell ref="E22:E30"/>
    <mergeCell ref="E10:E20"/>
    <mergeCell ref="E40:E45"/>
    <mergeCell ref="E32:E38"/>
  </mergeCells>
  <hyperlinks>
    <hyperlink xmlns:r="http://schemas.openxmlformats.org/officeDocument/2006/relationships" ref="G7" r:id="rId1"/>
  </hyperlinks>
  <pageMargins left="0.25" right="0.25" top="0.75" bottom="0.75" header="0.3" footer="0.3"/>
  <pageSetup orientation="portrait" paperSize="9" scale="61"/>
  <rowBreaks count="1" manualBreakCount="1">
    <brk id="30" min="0" max="16383" man="1"/>
  </rowBreaks>
  <colBreaks count="1" manualBreakCount="1">
    <brk id="8" min="0" max="1048575" man="1"/>
  </colBreaks>
  <drawing xmlns:r="http://schemas.openxmlformats.org/officeDocument/2006/relationships" r:id="rId2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S28"/>
  <sheetViews>
    <sheetView view="pageBreakPreview" zoomScale="85" zoomScaleNormal="70" zoomScaleSheetLayoutView="85" workbookViewId="0">
      <selection activeCell="S22" sqref="A1:S22"/>
    </sheetView>
  </sheetViews>
  <sheetFormatPr baseColWidth="8" defaultRowHeight="12.75"/>
  <cols>
    <col width="15.85546875" customWidth="1" style="350" min="1" max="1"/>
    <col width="13.28515625" customWidth="1" style="347" min="2" max="11"/>
    <col width="15.140625" customWidth="1" style="347" min="12" max="12"/>
    <col width="14.42578125" customWidth="1" style="347" min="13" max="13"/>
    <col width="1.5703125" customWidth="1" style="347" min="14" max="14"/>
    <col width="12.5703125" customWidth="1" style="347" min="15" max="19"/>
    <col width="9.140625" customWidth="1" style="347" min="20" max="16384"/>
  </cols>
  <sheetData>
    <row r="1" ht="14.25" customHeight="1">
      <c r="A1" s="361" t="n"/>
      <c r="B1" s="362" t="n"/>
      <c r="C1" s="362" t="n"/>
      <c r="D1" s="362" t="n"/>
      <c r="E1" s="362" t="n"/>
      <c r="F1" s="362" t="n"/>
      <c r="G1" s="362" t="n"/>
      <c r="H1" s="362" t="n"/>
      <c r="I1" s="362" t="n"/>
      <c r="J1" s="362" t="n"/>
      <c r="K1" s="362" t="n"/>
      <c r="L1" s="362" t="n"/>
      <c r="M1" s="362" t="n"/>
      <c r="N1" s="362" t="n"/>
    </row>
    <row r="2" ht="15.75" customHeight="1">
      <c r="A2" s="361" t="n"/>
      <c r="B2" s="362" t="n"/>
      <c r="C2" s="362" t="n"/>
      <c r="D2" s="362" t="n"/>
      <c r="E2" s="362" t="n"/>
      <c r="F2" s="363" t="inlineStr">
        <is>
          <t>YEAR 1</t>
        </is>
      </c>
      <c r="G2" s="362" t="n"/>
      <c r="H2" s="362" t="n"/>
      <c r="I2" s="362" t="n"/>
      <c r="J2" s="362" t="n"/>
      <c r="K2" s="362" t="n"/>
      <c r="L2" s="362" t="n"/>
      <c r="M2" s="362" t="n"/>
      <c r="N2" s="362" t="n"/>
      <c r="O2" s="345" t="inlineStr">
        <is>
          <t>YEAR 1</t>
        </is>
      </c>
      <c r="P2" s="346" t="inlineStr">
        <is>
          <t>YEAR 2</t>
        </is>
      </c>
      <c r="Q2" s="345" t="inlineStr">
        <is>
          <t>YEAR 3</t>
        </is>
      </c>
      <c r="R2" s="346" t="inlineStr">
        <is>
          <t>YEAR 4</t>
        </is>
      </c>
      <c r="S2" s="345" t="inlineStr">
        <is>
          <t>YEAR 5</t>
        </is>
      </c>
    </row>
    <row r="3" ht="15.75" customHeight="1">
      <c r="A3" s="364" t="n"/>
      <c r="B3" s="365" t="inlineStr">
        <is>
          <t>M 1</t>
        </is>
      </c>
      <c r="C3" s="365" t="inlineStr">
        <is>
          <t>M 2</t>
        </is>
      </c>
      <c r="D3" s="365" t="inlineStr">
        <is>
          <t>M 3</t>
        </is>
      </c>
      <c r="E3" s="365" t="inlineStr">
        <is>
          <t>M 4</t>
        </is>
      </c>
      <c r="F3" s="365" t="inlineStr">
        <is>
          <t>M 5</t>
        </is>
      </c>
      <c r="G3" s="365" t="inlineStr">
        <is>
          <t>M 6</t>
        </is>
      </c>
      <c r="H3" s="365" t="inlineStr">
        <is>
          <t>M 7</t>
        </is>
      </c>
      <c r="I3" s="365" t="inlineStr">
        <is>
          <t>M 8</t>
        </is>
      </c>
      <c r="J3" s="365" t="inlineStr">
        <is>
          <t>M 9</t>
        </is>
      </c>
      <c r="K3" s="365" t="inlineStr">
        <is>
          <t>M 10</t>
        </is>
      </c>
      <c r="L3" s="365" t="inlineStr">
        <is>
          <t>M 11</t>
        </is>
      </c>
      <c r="M3" s="365" t="inlineStr">
        <is>
          <t>M 12</t>
        </is>
      </c>
      <c r="N3" s="366" t="n"/>
      <c r="O3" s="348" t="n"/>
      <c r="P3" s="349" t="n"/>
      <c r="Q3" s="348" t="n"/>
      <c r="R3" s="349" t="n"/>
      <c r="S3" s="348" t="n"/>
    </row>
    <row r="4" ht="15.75" customHeight="1">
      <c r="A4" s="364" t="n"/>
      <c r="B4" s="365" t="n"/>
      <c r="C4" s="365" t="n"/>
      <c r="D4" s="365" t="n"/>
      <c r="E4" s="365" t="n"/>
      <c r="F4" s="365" t="n"/>
      <c r="G4" s="365" t="n"/>
      <c r="H4" s="365" t="n"/>
      <c r="I4" s="365" t="n"/>
      <c r="J4" s="365" t="n"/>
      <c r="K4" s="365" t="n"/>
      <c r="L4" s="365" t="n"/>
      <c r="M4" s="365" t="n"/>
      <c r="N4" s="366" t="n"/>
      <c r="O4" s="351" t="n"/>
      <c r="P4" s="352" t="n"/>
      <c r="Q4" s="351" t="n"/>
      <c r="R4" s="352" t="n"/>
      <c r="S4" s="351" t="n"/>
    </row>
    <row r="5" ht="15.75" customHeight="1">
      <c r="A5" s="367" t="inlineStr">
        <is>
          <t>Voucher Sales</t>
        </is>
      </c>
      <c r="B5" s="529">
        <f>Calc!C18</f>
        <v/>
      </c>
      <c r="C5" s="529">
        <f>Calc!D18</f>
        <v/>
      </c>
      <c r="D5" s="529">
        <f>Calc!E18</f>
        <v/>
      </c>
      <c r="E5" s="529">
        <f>Calc!F18</f>
        <v/>
      </c>
      <c r="F5" s="529">
        <f>Calc!G18</f>
        <v/>
      </c>
      <c r="G5" s="529">
        <f>Calc!H18</f>
        <v/>
      </c>
      <c r="H5" s="529">
        <f>Calc!I18</f>
        <v/>
      </c>
      <c r="I5" s="529">
        <f>Calc!J18</f>
        <v/>
      </c>
      <c r="J5" s="529">
        <f>Calc!K18</f>
        <v/>
      </c>
      <c r="K5" s="529">
        <f>Calc!L18</f>
        <v/>
      </c>
      <c r="L5" s="529">
        <f>Calc!M18</f>
        <v/>
      </c>
      <c r="M5" s="529">
        <f>Calc!N18</f>
        <v/>
      </c>
      <c r="N5" s="530">
        <f>M5*1.12</f>
        <v/>
      </c>
      <c r="O5" s="355">
        <f>Calc!O18</f>
        <v/>
      </c>
      <c r="P5" s="356">
        <f>Calc!P18</f>
        <v/>
      </c>
      <c r="Q5" s="355">
        <f>Calc!Q18</f>
        <v/>
      </c>
      <c r="R5" s="356">
        <f>Calc!R18</f>
        <v/>
      </c>
      <c r="S5" s="355">
        <f>Calc!S18</f>
        <v/>
      </c>
    </row>
    <row r="6" ht="15.75" customFormat="1" customHeight="1" s="357">
      <c r="A6" s="375" t="inlineStr">
        <is>
          <t>Growth %</t>
        </is>
      </c>
      <c r="B6" s="376">
        <f>(C5-B5)/B5</f>
        <v/>
      </c>
      <c r="C6" s="376">
        <f>(D5-C5)/C5</f>
        <v/>
      </c>
      <c r="D6" s="376">
        <f>(E5-D5)/D5</f>
        <v/>
      </c>
      <c r="E6" s="376">
        <f>(F5-E5)/E5</f>
        <v/>
      </c>
      <c r="F6" s="376">
        <f>(G5-F5)/F5</f>
        <v/>
      </c>
      <c r="G6" s="376">
        <f>(H5-G5)/G5</f>
        <v/>
      </c>
      <c r="H6" s="376">
        <f>(I5-H5)/H5</f>
        <v/>
      </c>
      <c r="I6" s="376">
        <f>(J5-I5)/I5</f>
        <v/>
      </c>
      <c r="J6" s="376">
        <f>(K5-J5)/J5</f>
        <v/>
      </c>
      <c r="K6" s="376">
        <f>(L5-K5)/K5</f>
        <v/>
      </c>
      <c r="L6" s="376">
        <f>(M5-L5)/L5</f>
        <v/>
      </c>
      <c r="M6" s="376">
        <f>(N5-M5)/M5</f>
        <v/>
      </c>
      <c r="N6" s="370" t="n"/>
      <c r="O6" s="381">
        <f>AVERAGE(B6:M6)</f>
        <v/>
      </c>
      <c r="P6" s="382">
        <f>(P5-O5)/O5</f>
        <v/>
      </c>
      <c r="Q6" s="382">
        <f>(Q5-P5)/P5</f>
        <v/>
      </c>
      <c r="R6" s="352" t="n"/>
      <c r="S6" s="351" t="n"/>
    </row>
    <row r="7" ht="15.75" customHeight="1">
      <c r="A7" s="367" t="n"/>
      <c r="B7" s="365" t="n"/>
      <c r="C7" s="365" t="n"/>
      <c r="D7" s="365" t="n"/>
      <c r="E7" s="365" t="n"/>
      <c r="F7" s="365" t="n"/>
      <c r="G7" s="365" t="n"/>
      <c r="H7" s="365" t="n"/>
      <c r="I7" s="365" t="n"/>
      <c r="J7" s="365" t="n"/>
      <c r="K7" s="365" t="n"/>
      <c r="L7" s="365" t="n"/>
      <c r="M7" s="365" t="n"/>
      <c r="N7" s="366" t="n"/>
      <c r="O7" s="351" t="n"/>
      <c r="P7" s="352" t="n"/>
      <c r="Q7" s="351" t="n"/>
      <c r="R7" s="352" t="n"/>
      <c r="S7" s="351" t="n"/>
    </row>
    <row r="8" ht="15.75" customHeight="1">
      <c r="A8" s="367" t="inlineStr">
        <is>
          <t>Revenue*</t>
        </is>
      </c>
      <c r="B8" s="531">
        <f>Calc!C35</f>
        <v/>
      </c>
      <c r="C8" s="531">
        <f>Calc!D35</f>
        <v/>
      </c>
      <c r="D8" s="531">
        <f>Calc!E35</f>
        <v/>
      </c>
      <c r="E8" s="531">
        <f>Calc!F35</f>
        <v/>
      </c>
      <c r="F8" s="531">
        <f>Calc!G35</f>
        <v/>
      </c>
      <c r="G8" s="531">
        <f>Calc!H35</f>
        <v/>
      </c>
      <c r="H8" s="531">
        <f>Calc!I35</f>
        <v/>
      </c>
      <c r="I8" s="531">
        <f>Calc!J35</f>
        <v/>
      </c>
      <c r="J8" s="531">
        <f>Calc!K35</f>
        <v/>
      </c>
      <c r="K8" s="531">
        <f>Calc!L35</f>
        <v/>
      </c>
      <c r="L8" s="531">
        <f>Calc!M35</f>
        <v/>
      </c>
      <c r="M8" s="531">
        <f>Calc!N35</f>
        <v/>
      </c>
      <c r="N8" s="532" t="n"/>
      <c r="O8" s="351">
        <f>Calc!O35</f>
        <v/>
      </c>
      <c r="P8" s="352">
        <f>Calc!P35</f>
        <v/>
      </c>
      <c r="Q8" s="351">
        <f>Calc!Q35</f>
        <v/>
      </c>
      <c r="R8" s="352">
        <f>Calc!R35</f>
        <v/>
      </c>
      <c r="S8" s="351">
        <f>Calc!S35</f>
        <v/>
      </c>
    </row>
    <row r="9" ht="15.75" customHeight="1">
      <c r="A9" s="367" t="n"/>
      <c r="B9" s="365" t="n"/>
      <c r="C9" s="365" t="n"/>
      <c r="D9" s="365" t="n"/>
      <c r="E9" s="365" t="n"/>
      <c r="F9" s="365" t="n"/>
      <c r="G9" s="365" t="n"/>
      <c r="H9" s="365" t="n"/>
      <c r="I9" s="365" t="n"/>
      <c r="J9" s="365" t="n"/>
      <c r="K9" s="365" t="n"/>
      <c r="L9" s="365" t="n"/>
      <c r="M9" s="365" t="n"/>
      <c r="N9" s="366" t="n"/>
      <c r="O9" s="351" t="n"/>
      <c r="P9" s="352" t="n"/>
      <c r="Q9" s="351" t="n"/>
      <c r="R9" s="352" t="n"/>
      <c r="S9" s="351" t="n"/>
    </row>
    <row r="10" ht="15.75" customHeight="1" thickBot="1">
      <c r="A10" s="367" t="inlineStr">
        <is>
          <t>Cost of Sales*</t>
        </is>
      </c>
      <c r="B10" s="533">
        <f>Calc!C55</f>
        <v/>
      </c>
      <c r="C10" s="533">
        <f>Calc!D55</f>
        <v/>
      </c>
      <c r="D10" s="533">
        <f>Calc!E55</f>
        <v/>
      </c>
      <c r="E10" s="533">
        <f>Calc!F55</f>
        <v/>
      </c>
      <c r="F10" s="533">
        <f>Calc!G55</f>
        <v/>
      </c>
      <c r="G10" s="533">
        <f>Calc!H55</f>
        <v/>
      </c>
      <c r="H10" s="533">
        <f>Calc!I55</f>
        <v/>
      </c>
      <c r="I10" s="533">
        <f>Calc!J55</f>
        <v/>
      </c>
      <c r="J10" s="533">
        <f>Calc!K55</f>
        <v/>
      </c>
      <c r="K10" s="533">
        <f>Calc!L55</f>
        <v/>
      </c>
      <c r="L10" s="533">
        <f>Calc!M55</f>
        <v/>
      </c>
      <c r="M10" s="533">
        <f>Calc!N55</f>
        <v/>
      </c>
      <c r="N10" s="380" t="n"/>
      <c r="O10" s="353">
        <f>Calc!O69</f>
        <v/>
      </c>
      <c r="P10" s="354">
        <f>Calc!P69</f>
        <v/>
      </c>
      <c r="Q10" s="353">
        <f>Calc!Q69</f>
        <v/>
      </c>
      <c r="R10" s="354">
        <f>Calc!R69</f>
        <v/>
      </c>
      <c r="S10" s="353">
        <f>Calc!S69</f>
        <v/>
      </c>
    </row>
    <row r="11" ht="15.75" customHeight="1">
      <c r="A11" s="367" t="inlineStr">
        <is>
          <t>Gross Profit*</t>
        </is>
      </c>
      <c r="B11" s="534">
        <f>B8-B10</f>
        <v/>
      </c>
      <c r="C11" s="534">
        <f>C8-C10</f>
        <v/>
      </c>
      <c r="D11" s="534">
        <f>D8-D10</f>
        <v/>
      </c>
      <c r="E11" s="534">
        <f>E8-E10</f>
        <v/>
      </c>
      <c r="F11" s="534">
        <f>F8-F10</f>
        <v/>
      </c>
      <c r="G11" s="534">
        <f>G8-G10</f>
        <v/>
      </c>
      <c r="H11" s="534">
        <f>H8-H10</f>
        <v/>
      </c>
      <c r="I11" s="534">
        <f>I8-I10</f>
        <v/>
      </c>
      <c r="J11" s="534">
        <f>J8-J10</f>
        <v/>
      </c>
      <c r="K11" s="534">
        <f>K8-K10</f>
        <v/>
      </c>
      <c r="L11" s="534">
        <f>L8-L10</f>
        <v/>
      </c>
      <c r="M11" s="534">
        <f>M8-M10</f>
        <v/>
      </c>
      <c r="N11" s="366" t="n"/>
      <c r="O11" s="351">
        <f>Calc!O69</f>
        <v/>
      </c>
      <c r="P11" s="352">
        <f>Calc!P69</f>
        <v/>
      </c>
      <c r="Q11" s="351">
        <f>Calc!Q69</f>
        <v/>
      </c>
      <c r="R11" s="352">
        <f>Calc!R69</f>
        <v/>
      </c>
      <c r="S11" s="351">
        <f>Calc!S69</f>
        <v/>
      </c>
    </row>
    <row r="12" ht="15.75" customHeight="1">
      <c r="A12" s="375" t="inlineStr">
        <is>
          <t>Gross Margin</t>
        </is>
      </c>
      <c r="B12" s="376">
        <f>(B8-B10)/B8</f>
        <v/>
      </c>
      <c r="C12" s="376">
        <f>(C8-C10)/C8</f>
        <v/>
      </c>
      <c r="D12" s="376">
        <f>(D8-D10)/D8</f>
        <v/>
      </c>
      <c r="E12" s="376">
        <f>(E8-E10)/E8</f>
        <v/>
      </c>
      <c r="F12" s="376">
        <f>(F8-F10)/F8</f>
        <v/>
      </c>
      <c r="G12" s="376">
        <f>(G8-G10)/G8</f>
        <v/>
      </c>
      <c r="H12" s="376">
        <f>(H8-H10)/H8</f>
        <v/>
      </c>
      <c r="I12" s="376">
        <f>(I8-I10)/I8</f>
        <v/>
      </c>
      <c r="J12" s="376">
        <f>(J8-J10)/J8</f>
        <v/>
      </c>
      <c r="K12" s="376">
        <f>(K8-K10)/K8</f>
        <v/>
      </c>
      <c r="L12" s="376">
        <f>(L8-L10)/L8</f>
        <v/>
      </c>
      <c r="M12" s="376">
        <f>(M8-M10)/M8</f>
        <v/>
      </c>
      <c r="N12" s="366" t="n"/>
      <c r="O12" s="381">
        <f>AVERAGE(B12:M12)</f>
        <v/>
      </c>
      <c r="P12" s="352" t="n"/>
      <c r="Q12" s="351" t="n"/>
      <c r="R12" s="352" t="n"/>
      <c r="S12" s="351" t="n"/>
    </row>
    <row r="13" ht="15.75" customHeight="1">
      <c r="A13" s="367" t="n"/>
      <c r="B13" s="365" t="n"/>
      <c r="C13" s="365" t="n"/>
      <c r="D13" s="365" t="n"/>
      <c r="E13" s="365" t="n"/>
      <c r="F13" s="365" t="n"/>
      <c r="G13" s="365" t="n"/>
      <c r="H13" s="365" t="n"/>
      <c r="I13" s="365" t="n"/>
      <c r="J13" s="365" t="n"/>
      <c r="K13" s="365" t="n"/>
      <c r="L13" s="365" t="n"/>
      <c r="M13" s="365" t="n"/>
      <c r="N13" s="366" t="n"/>
      <c r="O13" s="351" t="n"/>
      <c r="P13" s="352" t="n"/>
      <c r="Q13" s="351" t="n"/>
      <c r="R13" s="352" t="n"/>
      <c r="S13" s="351" t="n"/>
    </row>
    <row r="14" ht="15.75" customHeight="1">
      <c r="A14" s="364" t="inlineStr">
        <is>
          <t>Headcount</t>
        </is>
      </c>
      <c r="B14" s="366">
        <f>Assums!B52</f>
        <v/>
      </c>
      <c r="C14" s="366" t="n">
        <v>87</v>
      </c>
      <c r="D14" s="366" t="n">
        <v>87</v>
      </c>
      <c r="E14" s="366" t="n">
        <v>87</v>
      </c>
      <c r="F14" s="366" t="n">
        <v>87</v>
      </c>
      <c r="G14" s="366" t="n">
        <v>87</v>
      </c>
      <c r="H14" s="366" t="n">
        <v>87</v>
      </c>
      <c r="I14" s="366" t="n">
        <v>87</v>
      </c>
      <c r="J14" s="366" t="n">
        <v>87</v>
      </c>
      <c r="K14" s="366" t="n">
        <v>87</v>
      </c>
      <c r="L14" s="366" t="n">
        <v>87</v>
      </c>
      <c r="M14" s="366" t="n">
        <v>87</v>
      </c>
      <c r="N14" s="366" t="n"/>
      <c r="O14" s="351" t="n">
        <v>87</v>
      </c>
      <c r="P14" s="352" t="n">
        <v>135</v>
      </c>
      <c r="Q14" s="351" t="n">
        <v>160</v>
      </c>
      <c r="R14" s="352" t="n">
        <v>160</v>
      </c>
      <c r="S14" s="351" t="n">
        <v>160</v>
      </c>
    </row>
    <row r="15" ht="15.75" customHeight="1">
      <c r="A15" s="367" t="inlineStr">
        <is>
          <t>EBIT*</t>
        </is>
      </c>
      <c r="B15" s="534">
        <f>B11+Assums!C79</f>
        <v/>
      </c>
      <c r="C15" s="534">
        <f>C11+Assums!D79</f>
        <v/>
      </c>
      <c r="D15" s="534">
        <f>D11+Assums!E79</f>
        <v/>
      </c>
      <c r="E15" s="534">
        <f>E11+Assums!F79</f>
        <v/>
      </c>
      <c r="F15" s="534">
        <f>F11+Assums!G79</f>
        <v/>
      </c>
      <c r="G15" s="534">
        <f>G11+Assums!H79</f>
        <v/>
      </c>
      <c r="H15" s="534">
        <f>H11+Assums!I79</f>
        <v/>
      </c>
      <c r="I15" s="534">
        <f>I11+Assums!J79</f>
        <v/>
      </c>
      <c r="J15" s="534">
        <f>J11+Assums!K79</f>
        <v/>
      </c>
      <c r="K15" s="534">
        <f>K11+Assums!L79</f>
        <v/>
      </c>
      <c r="L15" s="534">
        <f>L11+Assums!M79</f>
        <v/>
      </c>
      <c r="M15" s="534">
        <f>M11+Assums!N79</f>
        <v/>
      </c>
      <c r="N15" s="366" t="n"/>
      <c r="O15" s="351">
        <f>SUM(B15:M15)</f>
        <v/>
      </c>
      <c r="P15" s="352">
        <f>P11+Assums!E79</f>
        <v/>
      </c>
      <c r="Q15" s="351">
        <f>Q11+Assums!F79</f>
        <v/>
      </c>
      <c r="R15" s="352">
        <f>R11+Assums!G79</f>
        <v/>
      </c>
      <c r="S15" s="351">
        <f>S11+Assums!H79</f>
        <v/>
      </c>
    </row>
    <row r="16" ht="15.75" customHeight="1">
      <c r="A16" s="375" t="inlineStr">
        <is>
          <t>EBITDA Margin %</t>
        </is>
      </c>
      <c r="B16" s="376">
        <f>B15/B8</f>
        <v/>
      </c>
      <c r="C16" s="376">
        <f>C15/C8</f>
        <v/>
      </c>
      <c r="D16" s="376">
        <f>D15/D8</f>
        <v/>
      </c>
      <c r="E16" s="376">
        <f>E15/E8</f>
        <v/>
      </c>
      <c r="F16" s="376">
        <f>F15/F8</f>
        <v/>
      </c>
      <c r="G16" s="376">
        <f>G15/G8</f>
        <v/>
      </c>
      <c r="H16" s="376">
        <f>H15/H8</f>
        <v/>
      </c>
      <c r="I16" s="376">
        <f>I15/I8</f>
        <v/>
      </c>
      <c r="J16" s="376">
        <f>J15/J8</f>
        <v/>
      </c>
      <c r="K16" s="376">
        <f>K15/K8</f>
        <v/>
      </c>
      <c r="L16" s="376">
        <f>L15/L8</f>
        <v/>
      </c>
      <c r="M16" s="376">
        <f>M15/M8</f>
        <v/>
      </c>
      <c r="N16" s="366" t="n"/>
      <c r="O16" s="381">
        <f>AVERAGE(B16:M16)</f>
        <v/>
      </c>
      <c r="P16" s="352" t="n"/>
      <c r="Q16" s="351" t="n"/>
      <c r="R16" s="352" t="n"/>
      <c r="S16" s="351" t="n"/>
    </row>
    <row r="17" ht="15.75" customHeight="1">
      <c r="A17" s="367" t="n"/>
      <c r="B17" s="365" t="n"/>
      <c r="C17" s="365" t="n"/>
      <c r="D17" s="365" t="n"/>
      <c r="E17" s="365" t="n"/>
      <c r="F17" s="365" t="n"/>
      <c r="G17" s="365" t="n"/>
      <c r="H17" s="365" t="n"/>
      <c r="I17" s="365" t="n"/>
      <c r="J17" s="365" t="n"/>
      <c r="K17" s="365" t="n"/>
      <c r="L17" s="365" t="n"/>
      <c r="M17" s="365" t="n"/>
      <c r="N17" s="366" t="n"/>
      <c r="O17" s="351" t="n"/>
      <c r="P17" s="352" t="n"/>
      <c r="Q17" s="351" t="n"/>
      <c r="R17" s="352" t="n"/>
      <c r="S17" s="351" t="n"/>
    </row>
    <row r="18" ht="15.75" customHeight="1" thickBot="1">
      <c r="A18" s="367" t="inlineStr">
        <is>
          <t>Expenses*</t>
        </is>
      </c>
      <c r="B18" s="533">
        <f>Calc!C68</f>
        <v/>
      </c>
      <c r="C18" s="533">
        <f>Calc!D68</f>
        <v/>
      </c>
      <c r="D18" s="533">
        <f>Calc!E68</f>
        <v/>
      </c>
      <c r="E18" s="533">
        <f>Calc!F68</f>
        <v/>
      </c>
      <c r="F18" s="533">
        <f>Calc!G68</f>
        <v/>
      </c>
      <c r="G18" s="533">
        <f>Calc!H68</f>
        <v/>
      </c>
      <c r="H18" s="533">
        <f>Calc!I68</f>
        <v/>
      </c>
      <c r="I18" s="533">
        <f>Calc!J68</f>
        <v/>
      </c>
      <c r="J18" s="533">
        <f>Calc!K68</f>
        <v/>
      </c>
      <c r="K18" s="533">
        <f>Calc!L68</f>
        <v/>
      </c>
      <c r="L18" s="533">
        <f>Calc!M68</f>
        <v/>
      </c>
      <c r="M18" s="533">
        <f>Calc!N68</f>
        <v/>
      </c>
      <c r="N18" s="535" t="n"/>
      <c r="O18" s="353">
        <f>Calc!O68</f>
        <v/>
      </c>
      <c r="P18" s="354">
        <f>Calc!P68</f>
        <v/>
      </c>
      <c r="Q18" s="353">
        <f>Calc!Q68</f>
        <v/>
      </c>
      <c r="R18" s="354">
        <f>Calc!R68</f>
        <v/>
      </c>
      <c r="S18" s="353">
        <f>Calc!S68</f>
        <v/>
      </c>
    </row>
    <row r="19" ht="15.75" customHeight="1">
      <c r="A19" s="367" t="n"/>
      <c r="B19" s="365" t="n"/>
      <c r="C19" s="365" t="n"/>
      <c r="D19" s="365" t="n"/>
      <c r="E19" s="365" t="n"/>
      <c r="F19" s="365" t="n"/>
      <c r="G19" s="365" t="n"/>
      <c r="H19" s="365" t="n"/>
      <c r="I19" s="365" t="n"/>
      <c r="J19" s="365" t="n"/>
      <c r="K19" s="365" t="n"/>
      <c r="L19" s="365" t="n"/>
      <c r="M19" s="365" t="n"/>
      <c r="N19" s="366" t="n"/>
      <c r="O19" s="351" t="n"/>
      <c r="P19" s="352" t="n"/>
      <c r="Q19" s="351" t="n"/>
      <c r="R19" s="352" t="n"/>
      <c r="S19" s="351" t="n"/>
    </row>
    <row r="20" ht="15.75" customHeight="1">
      <c r="A20" s="367" t="n"/>
      <c r="B20" s="365" t="n"/>
      <c r="C20" s="365" t="n"/>
      <c r="D20" s="365" t="n"/>
      <c r="E20" s="365" t="n"/>
      <c r="F20" s="365" t="n"/>
      <c r="G20" s="365" t="n"/>
      <c r="H20" s="365" t="n"/>
      <c r="I20" s="365" t="n"/>
      <c r="J20" s="365" t="n"/>
      <c r="K20" s="365" t="n"/>
      <c r="L20" s="365" t="n"/>
      <c r="M20" s="365" t="n"/>
      <c r="N20" s="366" t="n"/>
      <c r="O20" s="351" t="n"/>
      <c r="P20" s="352" t="n"/>
      <c r="Q20" s="351" t="n"/>
      <c r="R20" s="352" t="n"/>
      <c r="S20" s="351" t="n"/>
    </row>
    <row r="21" ht="27" customHeight="1">
      <c r="A21" s="367" t="inlineStr">
        <is>
          <t>Cash (end of period)*</t>
        </is>
      </c>
      <c r="B21" s="534">
        <f>Calc!C76</f>
        <v/>
      </c>
      <c r="C21" s="534">
        <f>Calc!D76</f>
        <v/>
      </c>
      <c r="D21" s="534">
        <f>Calc!E76</f>
        <v/>
      </c>
      <c r="E21" s="534">
        <f>Calc!F76</f>
        <v/>
      </c>
      <c r="F21" s="534">
        <f>Calc!G76</f>
        <v/>
      </c>
      <c r="G21" s="534">
        <f>Calc!H76</f>
        <v/>
      </c>
      <c r="H21" s="534">
        <f>Calc!I76</f>
        <v/>
      </c>
      <c r="I21" s="534">
        <f>Calc!J76</f>
        <v/>
      </c>
      <c r="J21" s="534">
        <f>Calc!K76</f>
        <v/>
      </c>
      <c r="K21" s="534">
        <f>Calc!L76</f>
        <v/>
      </c>
      <c r="L21" s="534">
        <f>Calc!M76</f>
        <v/>
      </c>
      <c r="M21" s="534">
        <f>Calc!N76</f>
        <v/>
      </c>
      <c r="N21" s="536" t="n"/>
      <c r="O21" s="351">
        <f>Calc!O76</f>
        <v/>
      </c>
      <c r="P21" s="352">
        <f>Calc!P76</f>
        <v/>
      </c>
      <c r="Q21" s="351">
        <f>Calc!Q76</f>
        <v/>
      </c>
      <c r="R21" s="352">
        <f>Calc!R76</f>
        <v/>
      </c>
      <c r="S21" s="351">
        <f>Calc!S76</f>
        <v/>
      </c>
    </row>
    <row r="22" ht="15.75" customHeight="1">
      <c r="A22" s="377" t="inlineStr">
        <is>
          <t>*000's</t>
        </is>
      </c>
      <c r="B22" s="365" t="n"/>
      <c r="C22" s="365" t="n"/>
      <c r="D22" s="365" t="n"/>
      <c r="E22" s="365" t="n"/>
      <c r="F22" s="365" t="n"/>
      <c r="G22" s="365" t="n"/>
      <c r="H22" s="365" t="n"/>
      <c r="I22" s="365" t="n"/>
      <c r="J22" s="365" t="n"/>
      <c r="K22" s="365" t="n"/>
      <c r="L22" s="365" t="n"/>
      <c r="M22" s="365" t="n"/>
      <c r="N22" s="366" t="n"/>
      <c r="O22" s="358" t="n"/>
      <c r="P22" s="359" t="n"/>
      <c r="Q22" s="358" t="n"/>
      <c r="R22" s="359" t="n"/>
      <c r="S22" s="358" t="n"/>
    </row>
    <row r="23">
      <c r="O23" s="360" t="n"/>
      <c r="P23" s="360" t="n"/>
      <c r="Q23" s="360" t="n"/>
      <c r="R23" s="360" t="n"/>
      <c r="S23" s="360" t="n"/>
    </row>
    <row r="24">
      <c r="O24" s="360" t="n"/>
      <c r="P24" s="360" t="n"/>
      <c r="Q24" s="360" t="n"/>
      <c r="R24" s="360" t="n"/>
      <c r="S24" s="360" t="n"/>
    </row>
    <row r="25">
      <c r="O25" s="360" t="n"/>
      <c r="P25" s="360" t="n"/>
      <c r="Q25" s="360" t="n"/>
      <c r="R25" s="360" t="n"/>
      <c r="S25" s="360" t="n"/>
    </row>
    <row r="26">
      <c r="O26" s="360" t="n"/>
      <c r="P26" s="360" t="n"/>
      <c r="Q26" s="360" t="n"/>
      <c r="R26" s="360" t="n"/>
      <c r="S26" s="360" t="n"/>
    </row>
    <row r="27">
      <c r="O27" s="360" t="n"/>
      <c r="P27" s="360" t="n"/>
      <c r="Q27" s="360" t="n"/>
      <c r="R27" s="360" t="n"/>
      <c r="S27" s="360" t="n"/>
    </row>
    <row r="28">
      <c r="O28" s="360" t="n"/>
      <c r="P28" s="360" t="n"/>
      <c r="Q28" s="360" t="n"/>
      <c r="R28" s="360" t="n"/>
      <c r="S28" s="360" t="n"/>
    </row>
  </sheetData>
  <pageMargins left="0.7" right="0.7" top="0.75" bottom="0.75" header="0.3" footer="0.3"/>
  <pageSetup orientation="landscape" paperSize="9" scale="46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1:FV85"/>
  <sheetViews>
    <sheetView view="pageBreakPreview" zoomScale="70" zoomScaleNormal="80" zoomScaleSheetLayoutView="7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M64" sqref="M64"/>
    </sheetView>
  </sheetViews>
  <sheetFormatPr baseColWidth="8" defaultColWidth="9.140625" defaultRowHeight="12.75"/>
  <cols>
    <col width="41.140625" customWidth="1" style="142" min="1" max="1"/>
    <col width="16.140625" bestFit="1" customWidth="1" style="142" min="2" max="2"/>
    <col width="14.5703125" customWidth="1" style="142" min="3" max="3"/>
    <col width="14.85546875" customWidth="1" style="142" min="4" max="4"/>
    <col width="14.140625" customWidth="1" style="142" min="5" max="5"/>
    <col width="14.28515625" customWidth="1" style="142" min="6" max="6"/>
    <col width="14.42578125" bestFit="1" customWidth="1" style="142" min="7" max="14"/>
    <col width="15.42578125" bestFit="1" customWidth="1" style="142" min="15" max="15"/>
    <col width="17" customWidth="1" style="142" min="16" max="16"/>
    <col width="18.140625" customWidth="1" style="142" min="17" max="17"/>
    <col width="18.42578125" customWidth="1" style="142" min="18" max="18"/>
    <col width="20.28515625" customWidth="1" style="142" min="19" max="19"/>
    <col width="9.140625" customWidth="1" style="142" min="20" max="16384"/>
  </cols>
  <sheetData>
    <row r="1" ht="15" customHeight="1">
      <c r="D1" s="537" t="n"/>
    </row>
    <row r="2" ht="15" customHeight="1" thickBot="1"/>
    <row r="3" ht="13.5" customFormat="1" customHeight="1" s="150" thickBot="1">
      <c r="A3" s="144" t="inlineStr">
        <is>
          <t>Sales</t>
        </is>
      </c>
      <c r="B3" s="145" t="n"/>
      <c r="C3" s="538" t="inlineStr">
        <is>
          <t>M1</t>
        </is>
      </c>
      <c r="D3" s="539" t="inlineStr">
        <is>
          <t>M2</t>
        </is>
      </c>
      <c r="E3" s="539" t="inlineStr">
        <is>
          <t xml:space="preserve">M3 </t>
        </is>
      </c>
      <c r="F3" s="539" t="inlineStr">
        <is>
          <t>M4</t>
        </is>
      </c>
      <c r="G3" s="539" t="inlineStr">
        <is>
          <t>M5</t>
        </is>
      </c>
      <c r="H3" s="539" t="inlineStr">
        <is>
          <t>M6</t>
        </is>
      </c>
      <c r="I3" s="539" t="inlineStr">
        <is>
          <t>M7</t>
        </is>
      </c>
      <c r="J3" s="539" t="inlineStr">
        <is>
          <t>M8</t>
        </is>
      </c>
      <c r="K3" s="539" t="inlineStr">
        <is>
          <t>M9</t>
        </is>
      </c>
      <c r="L3" s="539" t="inlineStr">
        <is>
          <t>M10</t>
        </is>
      </c>
      <c r="M3" s="539" t="inlineStr">
        <is>
          <t>M11</t>
        </is>
      </c>
      <c r="N3" s="539" t="inlineStr">
        <is>
          <t>M12</t>
        </is>
      </c>
      <c r="O3" s="540" t="inlineStr">
        <is>
          <t>Yr 1</t>
        </is>
      </c>
      <c r="P3" s="538" t="inlineStr">
        <is>
          <t>Yr 2</t>
        </is>
      </c>
      <c r="Q3" s="539" t="inlineStr">
        <is>
          <t>Yr 3</t>
        </is>
      </c>
      <c r="R3" s="539" t="inlineStr">
        <is>
          <t>Yr 4</t>
        </is>
      </c>
      <c r="S3" s="541" t="inlineStr">
        <is>
          <t>Yr 5</t>
        </is>
      </c>
    </row>
    <row r="4" ht="13.5" customFormat="1" customHeight="1" s="159" thickBot="1">
      <c r="A4" s="151" t="inlineStr">
        <is>
          <t>Units are sold in USD</t>
        </is>
      </c>
      <c r="B4" s="542" t="inlineStr">
        <is>
          <t>Avg price</t>
        </is>
      </c>
      <c r="C4" s="543" t="n"/>
      <c r="D4" s="544" t="n"/>
      <c r="E4" s="544" t="n"/>
      <c r="F4" s="544" t="n"/>
      <c r="G4" s="544" t="n"/>
      <c r="H4" s="544" t="n"/>
      <c r="I4" s="544" t="n"/>
      <c r="J4" s="544" t="n"/>
      <c r="K4" s="544" t="n"/>
      <c r="L4" s="544" t="n"/>
      <c r="M4" s="544" t="n"/>
      <c r="N4" s="545" t="n"/>
      <c r="O4" s="546" t="n"/>
      <c r="P4" s="547" t="n"/>
      <c r="Q4" s="548" t="n"/>
      <c r="R4" s="548" t="n"/>
      <c r="S4" s="545" t="n"/>
    </row>
    <row r="5" customFormat="1" s="159">
      <c r="A5" s="160" t="inlineStr">
        <is>
          <t>Daily Wifi Topups (ZMW 10)</t>
        </is>
      </c>
      <c r="B5" s="549" t="n">
        <v>0.5</v>
      </c>
      <c r="C5" s="550" t="n">
        <v>75200</v>
      </c>
      <c r="D5" s="551">
        <f>SUM(C5*1.02)</f>
        <v/>
      </c>
      <c r="E5" s="551">
        <f>SUM(D5*1.02)</f>
        <v/>
      </c>
      <c r="F5" s="551">
        <f>SUM(E5*1.02)</f>
        <v/>
      </c>
      <c r="G5" s="551">
        <f>SUM(F5*1.08)</f>
        <v/>
      </c>
      <c r="H5" s="551">
        <f>SUM(G5*1.12)</f>
        <v/>
      </c>
      <c r="I5" s="551">
        <f>SUM(H5*1.12)</f>
        <v/>
      </c>
      <c r="J5" s="551">
        <f>SUM(I5*1.12)</f>
        <v/>
      </c>
      <c r="K5" s="551">
        <f>SUM(J5*1.12)</f>
        <v/>
      </c>
      <c r="L5" s="551">
        <f>SUM(K5*1.12)</f>
        <v/>
      </c>
      <c r="M5" s="551">
        <f>SUM(L5*1.12)</f>
        <v/>
      </c>
      <c r="N5" s="552">
        <f>SUM(M5*1.12)</f>
        <v/>
      </c>
      <c r="O5" s="553">
        <f>SUM(C5:N5)</f>
        <v/>
      </c>
      <c r="P5" s="554">
        <f>SUM(O5*1.7)</f>
        <v/>
      </c>
      <c r="Q5" s="555">
        <f>SUM(P5*1.2)</f>
        <v/>
      </c>
      <c r="R5" s="555">
        <f>SUM(Q5*1.7)</f>
        <v/>
      </c>
      <c r="S5" s="552">
        <f>SUM(R5*1.7)</f>
        <v/>
      </c>
    </row>
    <row r="6" customFormat="1" s="159">
      <c r="A6" s="168" t="inlineStr">
        <is>
          <t>Weekly Wifi Topups (ZMW 50)</t>
        </is>
      </c>
      <c r="B6" s="556" t="n">
        <v>2.5</v>
      </c>
      <c r="C6" s="557" t="n">
        <v>117000</v>
      </c>
      <c r="D6" s="558">
        <f>SUM(D5*1.7)</f>
        <v/>
      </c>
      <c r="E6" s="558">
        <f>SUM(E5*1.7)</f>
        <v/>
      </c>
      <c r="F6" s="558">
        <f>SUM(F5*1.7)</f>
        <v/>
      </c>
      <c r="G6" s="558">
        <f>SUM(G5*1.7)</f>
        <v/>
      </c>
      <c r="H6" s="558">
        <f>SUM(H5*1.7)</f>
        <v/>
      </c>
      <c r="I6" s="558">
        <f>SUM(I5*1.7)</f>
        <v/>
      </c>
      <c r="J6" s="558">
        <f>SUM(J5*1.7)</f>
        <v/>
      </c>
      <c r="K6" s="558">
        <f>SUM(K5*1.7)</f>
        <v/>
      </c>
      <c r="L6" s="558">
        <f>SUM(L5*1.7)</f>
        <v/>
      </c>
      <c r="M6" s="558">
        <f>SUM(M5*1.7)</f>
        <v/>
      </c>
      <c r="N6" s="559">
        <f>SUM(N5*1.7)</f>
        <v/>
      </c>
      <c r="O6" s="560">
        <f>SUM(C6:N6)</f>
        <v/>
      </c>
      <c r="P6" s="561">
        <f>SUM(O6*1.7)</f>
        <v/>
      </c>
      <c r="Q6" s="562">
        <f>SUM(P6*1.2)</f>
        <v/>
      </c>
      <c r="R6" s="562">
        <f>SUM(Q6*1.7)</f>
        <v/>
      </c>
      <c r="S6" s="563">
        <f>SUM(R6*1.7)</f>
        <v/>
      </c>
    </row>
    <row r="7" customFormat="1" s="159">
      <c r="A7" s="168" t="inlineStr">
        <is>
          <t>Monthly Wifi Topups (ZMW 400)</t>
        </is>
      </c>
      <c r="B7" s="556" t="n">
        <v>20</v>
      </c>
      <c r="C7" s="557" t="n">
        <v>100000</v>
      </c>
      <c r="D7" s="558">
        <f>SUM(D5*1.2)</f>
        <v/>
      </c>
      <c r="E7" s="558">
        <f>SUM(E5*1.2)</f>
        <v/>
      </c>
      <c r="F7" s="558">
        <f>SUM(F5*1.2)</f>
        <v/>
      </c>
      <c r="G7" s="558">
        <f>SUM(G5*1.2)</f>
        <v/>
      </c>
      <c r="H7" s="558">
        <f>SUM(H5*1.2)</f>
        <v/>
      </c>
      <c r="I7" s="558">
        <f>SUM(I5*1.2)</f>
        <v/>
      </c>
      <c r="J7" s="558">
        <f>SUM(J5*1.2)</f>
        <v/>
      </c>
      <c r="K7" s="558">
        <f>SUM(K5*1.2)</f>
        <v/>
      </c>
      <c r="L7" s="558">
        <f>SUM(L5*1.2)</f>
        <v/>
      </c>
      <c r="M7" s="558">
        <f>SUM(M5*1.2)</f>
        <v/>
      </c>
      <c r="N7" s="559">
        <f>SUM(N5*1.2)</f>
        <v/>
      </c>
      <c r="O7" s="560">
        <f>SUM(C7:N7)</f>
        <v/>
      </c>
      <c r="P7" s="561">
        <f>SUM(O7*1.7)</f>
        <v/>
      </c>
      <c r="Q7" s="562">
        <f>SUM(P7*1.2)</f>
        <v/>
      </c>
      <c r="R7" s="562">
        <f>SUM(Q7*1.7)</f>
        <v/>
      </c>
      <c r="S7" s="563">
        <f>SUM(R7*1.7)</f>
        <v/>
      </c>
    </row>
    <row r="8" customFormat="1" s="159">
      <c r="A8" s="168" t="inlineStr">
        <is>
          <t>Enterprise 1 (Up to 10 Employees)</t>
        </is>
      </c>
      <c r="B8" s="556" t="n">
        <v>116</v>
      </c>
      <c r="C8" s="557" t="n">
        <v>32</v>
      </c>
      <c r="D8" s="558">
        <f>SUM(C8*1.2)</f>
        <v/>
      </c>
      <c r="E8" s="558">
        <f>SUM(D8*1.2)</f>
        <v/>
      </c>
      <c r="F8" s="558">
        <f>SUM(E8*1.2)</f>
        <v/>
      </c>
      <c r="G8" s="558">
        <f>SUM(F8*1.2)</f>
        <v/>
      </c>
      <c r="H8" s="558">
        <f>SUM(G8*1.2)</f>
        <v/>
      </c>
      <c r="I8" s="558">
        <f>SUM(H8*1.2)</f>
        <v/>
      </c>
      <c r="J8" s="558">
        <f>SUM(I8*1.2)</f>
        <v/>
      </c>
      <c r="K8" s="558">
        <f>SUM(J8*1.2)</f>
        <v/>
      </c>
      <c r="L8" s="558">
        <f>SUM(K8*1.2)</f>
        <v/>
      </c>
      <c r="M8" s="558">
        <f>SUM(L8*1.2)</f>
        <v/>
      </c>
      <c r="N8" s="559">
        <f>SUM(M8*1.2)</f>
        <v/>
      </c>
      <c r="O8" s="560">
        <f>SUM(C8:N8)</f>
        <v/>
      </c>
      <c r="P8" s="561">
        <f>SUM(O8*1.7)</f>
        <v/>
      </c>
      <c r="Q8" s="562">
        <f>SUM(P8*1.2)</f>
        <v/>
      </c>
      <c r="R8" s="562">
        <f>SUM(Q8*1.7)</f>
        <v/>
      </c>
      <c r="S8" s="563">
        <f>SUM(R8*1.7)</f>
        <v/>
      </c>
    </row>
    <row r="9" customFormat="1" s="159">
      <c r="A9" s="168" t="inlineStr">
        <is>
          <t>Enterprise 2 (Up to 25 Employees)</t>
        </is>
      </c>
      <c r="B9" s="556" t="n">
        <v>287.5</v>
      </c>
      <c r="C9" s="557" t="n">
        <v>27</v>
      </c>
      <c r="D9" s="558">
        <f>SUM(C9*1.2)</f>
        <v/>
      </c>
      <c r="E9" s="558">
        <f>SUM(D9*1.2)</f>
        <v/>
      </c>
      <c r="F9" s="558">
        <f>SUM(E9*1.2)</f>
        <v/>
      </c>
      <c r="G9" s="558">
        <f>SUM(F9*1.2)</f>
        <v/>
      </c>
      <c r="H9" s="558">
        <f>SUM(G9*1.2)</f>
        <v/>
      </c>
      <c r="I9" s="558">
        <f>SUM(H9*1.2)</f>
        <v/>
      </c>
      <c r="J9" s="558">
        <f>SUM(I9*1.2)</f>
        <v/>
      </c>
      <c r="K9" s="558">
        <f>SUM(J9*1.2)</f>
        <v/>
      </c>
      <c r="L9" s="558">
        <f>SUM(K9*1.2)</f>
        <v/>
      </c>
      <c r="M9" s="558">
        <f>SUM(L9*1.2)</f>
        <v/>
      </c>
      <c r="N9" s="559">
        <f>SUM(M9*1.2)</f>
        <v/>
      </c>
      <c r="O9" s="560">
        <f>SUM(C9:N9)</f>
        <v/>
      </c>
      <c r="P9" s="561">
        <f>SUM(O9*1.7)</f>
        <v/>
      </c>
      <c r="Q9" s="562">
        <f>SUM(P9*1.2)</f>
        <v/>
      </c>
      <c r="R9" s="562">
        <f>SUM(Q9*1.7)</f>
        <v/>
      </c>
      <c r="S9" s="563">
        <f>SUM(R9*1.7)</f>
        <v/>
      </c>
    </row>
    <row r="10" customFormat="1" s="159">
      <c r="A10" s="168" t="inlineStr">
        <is>
          <t>Enterprise 3  (Up to 50 Employees)</t>
        </is>
      </c>
      <c r="B10" s="556" t="n">
        <v>475</v>
      </c>
      <c r="C10" s="557" t="n">
        <v>17</v>
      </c>
      <c r="D10" s="558">
        <f>SUM(C10*1.2)</f>
        <v/>
      </c>
      <c r="E10" s="558">
        <f>SUM(D10*1.2)</f>
        <v/>
      </c>
      <c r="F10" s="558">
        <f>SUM(E10*1.2)</f>
        <v/>
      </c>
      <c r="G10" s="558">
        <f>SUM(F10*1.2)</f>
        <v/>
      </c>
      <c r="H10" s="558">
        <f>SUM(G10*1.2)</f>
        <v/>
      </c>
      <c r="I10" s="558">
        <f>SUM(H10*1.2)</f>
        <v/>
      </c>
      <c r="J10" s="558">
        <f>SUM(I10*1.2)</f>
        <v/>
      </c>
      <c r="K10" s="558">
        <f>SUM(J10*1.2)</f>
        <v/>
      </c>
      <c r="L10" s="558">
        <f>SUM(K10*1.2)</f>
        <v/>
      </c>
      <c r="M10" s="558">
        <f>SUM(L10*1.2)</f>
        <v/>
      </c>
      <c r="N10" s="559">
        <f>SUM(M10*1.2)</f>
        <v/>
      </c>
      <c r="O10" s="560">
        <f>SUM(C10:N10)</f>
        <v/>
      </c>
      <c r="P10" s="561" t="n">
        <v>78</v>
      </c>
      <c r="Q10" s="562" t="n">
        <v>103</v>
      </c>
      <c r="R10" s="562" t="n">
        <v>134</v>
      </c>
      <c r="S10" s="563" t="n">
        <v>164</v>
      </c>
    </row>
    <row r="11" customFormat="1" s="159">
      <c r="A11" s="168" t="inlineStr">
        <is>
          <t>Enterprise 4  (Up to 99 Employees)</t>
        </is>
      </c>
      <c r="B11" s="556" t="n">
        <v>841.5</v>
      </c>
      <c r="C11" s="557" t="n">
        <v>12</v>
      </c>
      <c r="D11" s="558">
        <f>SUM(C11*1.2)</f>
        <v/>
      </c>
      <c r="E11" s="558">
        <f>SUM(D11*1.2)</f>
        <v/>
      </c>
      <c r="F11" s="558">
        <f>SUM(E11*1.2)</f>
        <v/>
      </c>
      <c r="G11" s="558">
        <f>SUM(F11*1.2)</f>
        <v/>
      </c>
      <c r="H11" s="558">
        <f>SUM(G11*1.2)</f>
        <v/>
      </c>
      <c r="I11" s="558">
        <f>SUM(H11*1.2)</f>
        <v/>
      </c>
      <c r="J11" s="558">
        <f>SUM(I11*1.2)</f>
        <v/>
      </c>
      <c r="K11" s="558">
        <f>SUM(J11*1.2)</f>
        <v/>
      </c>
      <c r="L11" s="558">
        <f>SUM(K11*1.2)</f>
        <v/>
      </c>
      <c r="M11" s="558">
        <f>SUM(L11*1.2)</f>
        <v/>
      </c>
      <c r="N11" s="559">
        <f>SUM(M11*1.2)</f>
        <v/>
      </c>
      <c r="O11" s="560">
        <f>SUM(C11:N11)</f>
        <v/>
      </c>
      <c r="P11" s="561">
        <f>SUM(O11*1.07)</f>
        <v/>
      </c>
      <c r="Q11" s="562">
        <f>SUM(P11*1.07)</f>
        <v/>
      </c>
      <c r="R11" s="562">
        <f>SUM(Q11*1.07)</f>
        <v/>
      </c>
      <c r="S11" s="563">
        <f>SUM(R11*1.07)</f>
        <v/>
      </c>
    </row>
    <row r="12" customFormat="1" s="159">
      <c r="A12" s="168" t="n"/>
      <c r="B12" s="556" t="n">
        <v>0</v>
      </c>
      <c r="C12" s="557" t="n">
        <v>0</v>
      </c>
      <c r="D12" s="558" t="n">
        <v>0</v>
      </c>
      <c r="E12" s="558">
        <f>SUM(D12*1.07)</f>
        <v/>
      </c>
      <c r="F12" s="558">
        <f>SUM(E12*1.07)</f>
        <v/>
      </c>
      <c r="G12" s="558">
        <f>SUM(F12*1.07)</f>
        <v/>
      </c>
      <c r="H12" s="558">
        <f>SUM(G12*1.07)</f>
        <v/>
      </c>
      <c r="I12" s="558">
        <f>SUM(H12*1.07)</f>
        <v/>
      </c>
      <c r="J12" s="558">
        <f>SUM(I12*1.07)</f>
        <v/>
      </c>
      <c r="K12" s="558">
        <f>SUM(J12*1.07)</f>
        <v/>
      </c>
      <c r="L12" s="558">
        <f>SUM(K12*1.07)</f>
        <v/>
      </c>
      <c r="M12" s="558">
        <f>SUM(L12*1.07)</f>
        <v/>
      </c>
      <c r="N12" s="559">
        <f>SUM(M12*1.07)</f>
        <v/>
      </c>
      <c r="O12" s="560">
        <f>SUM(C12:N12)</f>
        <v/>
      </c>
      <c r="P12" s="561">
        <f>SUM(O12*1.7)</f>
        <v/>
      </c>
      <c r="Q12" s="562">
        <f>SUM(P12*1.2)</f>
        <v/>
      </c>
      <c r="R12" s="562">
        <f>SUM(Q12*1.7)</f>
        <v/>
      </c>
      <c r="S12" s="563">
        <f>SUM(R12*1.7)</f>
        <v/>
      </c>
    </row>
    <row r="13" customFormat="1" s="159">
      <c r="A13" s="168" t="n"/>
      <c r="B13" s="556" t="n">
        <v>0</v>
      </c>
      <c r="C13" s="557" t="n">
        <v>0</v>
      </c>
      <c r="D13" s="558" t="n">
        <v>0</v>
      </c>
      <c r="E13" s="558" t="n">
        <v>0</v>
      </c>
      <c r="F13" s="558" t="n">
        <v>0</v>
      </c>
      <c r="G13" s="558" t="n">
        <v>0</v>
      </c>
      <c r="H13" s="558" t="n">
        <v>0</v>
      </c>
      <c r="I13" s="558" t="n">
        <v>0</v>
      </c>
      <c r="J13" s="558" t="n">
        <v>0</v>
      </c>
      <c r="K13" s="558" t="n">
        <v>0</v>
      </c>
      <c r="L13" s="558" t="n">
        <v>0</v>
      </c>
      <c r="M13" s="558" t="n">
        <v>0</v>
      </c>
      <c r="N13" s="559" t="n">
        <v>0</v>
      </c>
      <c r="O13" s="560">
        <f>SUM(C13:N13)</f>
        <v/>
      </c>
      <c r="P13" s="561" t="n">
        <v>0</v>
      </c>
      <c r="Q13" s="562" t="n">
        <v>0</v>
      </c>
      <c r="R13" s="562" t="n">
        <v>0</v>
      </c>
      <c r="S13" s="563" t="n">
        <v>0</v>
      </c>
    </row>
    <row r="14" customFormat="1" s="159">
      <c r="A14" s="168" t="n"/>
      <c r="B14" s="556" t="n">
        <v>0</v>
      </c>
      <c r="C14" s="557" t="n">
        <v>0</v>
      </c>
      <c r="D14" s="558" t="n">
        <v>0</v>
      </c>
      <c r="E14" s="558" t="n">
        <v>0</v>
      </c>
      <c r="F14" s="558" t="n">
        <v>0</v>
      </c>
      <c r="G14" s="558" t="n">
        <v>0</v>
      </c>
      <c r="H14" s="558" t="n">
        <v>0</v>
      </c>
      <c r="I14" s="558">
        <f>SUM(H14*1.07)</f>
        <v/>
      </c>
      <c r="J14" s="558">
        <f>SUM(I14*1.07)</f>
        <v/>
      </c>
      <c r="K14" s="558">
        <f>SUM(J14*1.07)</f>
        <v/>
      </c>
      <c r="L14" s="558">
        <f>SUM(K14*1.07)</f>
        <v/>
      </c>
      <c r="M14" s="558">
        <f>SUM(L14*1.07)</f>
        <v/>
      </c>
      <c r="N14" s="559">
        <f>SUM(M14*1.07)</f>
        <v/>
      </c>
      <c r="O14" s="560">
        <f>SUM(C14:N14)</f>
        <v/>
      </c>
      <c r="P14" s="561">
        <f>SUM(O14*1.7)</f>
        <v/>
      </c>
      <c r="Q14" s="562">
        <f>SUM(P14*1.2)</f>
        <v/>
      </c>
      <c r="R14" s="562">
        <f>SUM(Q14*1.7)</f>
        <v/>
      </c>
      <c r="S14" s="563">
        <f>SUM(R14*1.7)</f>
        <v/>
      </c>
    </row>
    <row r="15" customFormat="1" s="159">
      <c r="A15" s="168" t="n"/>
      <c r="B15" s="556" t="n">
        <v>0</v>
      </c>
      <c r="C15" s="557" t="n">
        <v>0</v>
      </c>
      <c r="D15" s="558" t="n">
        <v>0</v>
      </c>
      <c r="E15" s="558" t="n">
        <v>0</v>
      </c>
      <c r="F15" s="558" t="n">
        <v>0</v>
      </c>
      <c r="G15" s="558" t="n">
        <v>0</v>
      </c>
      <c r="H15" s="558" t="n">
        <v>0</v>
      </c>
      <c r="I15" s="558" t="n">
        <v>0</v>
      </c>
      <c r="J15" s="558" t="n">
        <v>0</v>
      </c>
      <c r="K15" s="558" t="n">
        <v>0</v>
      </c>
      <c r="L15" s="558" t="n">
        <v>0</v>
      </c>
      <c r="M15" s="558" t="n">
        <v>0</v>
      </c>
      <c r="N15" s="559" t="n">
        <v>0</v>
      </c>
      <c r="O15" s="560">
        <f>SUM(C15:N15)</f>
        <v/>
      </c>
      <c r="P15" s="561">
        <f>SUM(O15*1.7)</f>
        <v/>
      </c>
      <c r="Q15" s="562">
        <f>SUM(P15*1.2)</f>
        <v/>
      </c>
      <c r="R15" s="562">
        <f>SUM(Q15*1.7)</f>
        <v/>
      </c>
      <c r="S15" s="563">
        <f>SUM(R15*1.7)</f>
        <v/>
      </c>
    </row>
    <row r="16" customFormat="1" s="159">
      <c r="A16" s="168" t="n"/>
      <c r="B16" s="556" t="n">
        <v>0</v>
      </c>
      <c r="C16" s="557" t="n">
        <v>0</v>
      </c>
      <c r="D16" s="558">
        <f>SUM(C16*1.2)</f>
        <v/>
      </c>
      <c r="E16" s="558">
        <f>SUM(D16*1.2)</f>
        <v/>
      </c>
      <c r="F16" s="558">
        <f>SUM(E16*1.2)</f>
        <v/>
      </c>
      <c r="G16" s="558">
        <f>SUM(F16*1.2)</f>
        <v/>
      </c>
      <c r="H16" s="558">
        <f>SUM(G16*1.2)</f>
        <v/>
      </c>
      <c r="I16" s="558">
        <f>SUM(H16*1.2)</f>
        <v/>
      </c>
      <c r="J16" s="558" t="n">
        <v>0</v>
      </c>
      <c r="K16" s="558">
        <f>SUM(J16*1.2)</f>
        <v/>
      </c>
      <c r="L16" s="558">
        <f>SUM(K16*1.2)</f>
        <v/>
      </c>
      <c r="M16" s="558">
        <f>SUM(L16*1.2)</f>
        <v/>
      </c>
      <c r="N16" s="559">
        <f>SUM(M16*1.2)</f>
        <v/>
      </c>
      <c r="O16" s="560">
        <f>SUM(C16:N16)</f>
        <v/>
      </c>
      <c r="P16" s="561">
        <f>SUM(O16*1.12)</f>
        <v/>
      </c>
      <c r="Q16" s="562">
        <f>SUM(P16*1.12)</f>
        <v/>
      </c>
      <c r="R16" s="562">
        <f>SUM(Q16*1.12)</f>
        <v/>
      </c>
      <c r="S16" s="563">
        <f>SUM(R16*1.12)</f>
        <v/>
      </c>
    </row>
    <row r="17" ht="13.5" customFormat="1" customHeight="1" s="159" thickBot="1">
      <c r="A17" s="168" t="n"/>
      <c r="B17" s="564" t="n">
        <v>0</v>
      </c>
      <c r="C17" s="565" t="n">
        <v>0</v>
      </c>
      <c r="D17" s="566">
        <f>SUM(C17*1.2)</f>
        <v/>
      </c>
      <c r="E17" s="566">
        <f>SUM(D17*1.2)</f>
        <v/>
      </c>
      <c r="F17" s="566">
        <f>SUM(E17*1.2)</f>
        <v/>
      </c>
      <c r="G17" s="566">
        <f>SUM(F17*1.2)</f>
        <v/>
      </c>
      <c r="H17" s="566" t="n">
        <v>0</v>
      </c>
      <c r="I17" s="566" t="n">
        <v>0</v>
      </c>
      <c r="J17" s="566">
        <f>SUM(I17*1.2)</f>
        <v/>
      </c>
      <c r="K17" s="566">
        <f>SUM(J17*1.2)</f>
        <v/>
      </c>
      <c r="L17" s="566">
        <f>SUM(K17*1.2)</f>
        <v/>
      </c>
      <c r="M17" s="566">
        <f>SUM(L17*1.2)</f>
        <v/>
      </c>
      <c r="N17" s="567">
        <f>SUM(M17*1.2)</f>
        <v/>
      </c>
      <c r="O17" s="568">
        <f>SUM(C17:N17)</f>
        <v/>
      </c>
      <c r="P17" s="565">
        <f>SUM(O17*1.12)</f>
        <v/>
      </c>
      <c r="Q17" s="569">
        <f>SUM(P17*1.2)</f>
        <v/>
      </c>
      <c r="R17" s="569">
        <f>SUM(Q17*1.7)</f>
        <v/>
      </c>
      <c r="S17" s="567">
        <f>SUM(R17*1.7)</f>
        <v/>
      </c>
    </row>
    <row r="18" ht="13.5" customFormat="1" customHeight="1" s="150" thickBot="1">
      <c r="A18" s="183" t="inlineStr">
        <is>
          <t>Total</t>
        </is>
      </c>
      <c r="B18" s="570" t="n"/>
      <c r="C18" s="571">
        <f>SUM(C5:C17)</f>
        <v/>
      </c>
      <c r="D18" s="571">
        <f>SUM(D5:D17)</f>
        <v/>
      </c>
      <c r="E18" s="571">
        <f>SUM(E5:E17)</f>
        <v/>
      </c>
      <c r="F18" s="571">
        <f>SUM(F5:F17)</f>
        <v/>
      </c>
      <c r="G18" s="571">
        <f>SUM(G5:G17)</f>
        <v/>
      </c>
      <c r="H18" s="571">
        <f>SUM(H5:H17)</f>
        <v/>
      </c>
      <c r="I18" s="571">
        <f>SUM(I5:I17)</f>
        <v/>
      </c>
      <c r="J18" s="571">
        <f>SUM(J5:J17)</f>
        <v/>
      </c>
      <c r="K18" s="571">
        <f>SUM(K5:K17)</f>
        <v/>
      </c>
      <c r="L18" s="571">
        <f>SUM(L5:L17)</f>
        <v/>
      </c>
      <c r="M18" s="571">
        <f>SUM(M5:M17)</f>
        <v/>
      </c>
      <c r="N18" s="571">
        <f>SUM(N5:N17)</f>
        <v/>
      </c>
      <c r="O18" s="572">
        <f>SUM(O5:O9)</f>
        <v/>
      </c>
      <c r="P18" s="573">
        <f>SUM(O18*1.7)</f>
        <v/>
      </c>
      <c r="Q18" s="574">
        <f>SUM(P18*1.7)</f>
        <v/>
      </c>
      <c r="R18" s="574">
        <f>SUM(Q18*1.7)</f>
        <v/>
      </c>
      <c r="S18" s="575">
        <f>SUM(R18*1.7)</f>
        <v/>
      </c>
    </row>
    <row r="19" customFormat="1" s="150">
      <c r="A19" s="159" t="n"/>
      <c r="C19" s="576" t="n"/>
      <c r="D19" s="577" t="n"/>
      <c r="E19" s="577" t="n"/>
      <c r="F19" s="577" t="n"/>
      <c r="G19" s="577" t="n"/>
      <c r="H19" s="577" t="n"/>
      <c r="I19" s="577" t="n"/>
      <c r="J19" s="577" t="n"/>
      <c r="K19" s="577" t="n"/>
      <c r="L19" s="577" t="n"/>
      <c r="M19" s="577" t="n"/>
      <c r="N19" s="577" t="n"/>
      <c r="O19" s="577" t="n"/>
      <c r="P19" s="577" t="n"/>
      <c r="Q19" s="577" t="n"/>
      <c r="R19" s="577" t="n"/>
      <c r="S19" s="577" t="n"/>
    </row>
    <row r="20" ht="13.5" customFormat="1" customHeight="1" s="150" thickBot="1">
      <c r="A20" s="194" t="n"/>
      <c r="C20" s="576" t="n"/>
      <c r="D20" s="577" t="n"/>
      <c r="E20" s="577" t="n"/>
      <c r="F20" s="577" t="n"/>
      <c r="G20" s="577" t="n"/>
      <c r="H20" s="577" t="n"/>
      <c r="I20" s="577" t="n"/>
      <c r="J20" s="577" t="n"/>
      <c r="K20" s="577" t="n"/>
      <c r="L20" s="577" t="n"/>
      <c r="M20" s="577" t="n"/>
      <c r="N20" s="577" t="n"/>
      <c r="O20" s="577" t="n"/>
      <c r="P20" s="577" t="n"/>
      <c r="Q20" s="577" t="n"/>
      <c r="R20" s="577" t="n"/>
      <c r="S20" s="577" t="n"/>
    </row>
    <row r="21" ht="13.5" customFormat="1" customHeight="1" s="150" thickBot="1">
      <c r="A21" s="195" t="inlineStr">
        <is>
          <t>Sales</t>
        </is>
      </c>
      <c r="B21" s="145" t="n"/>
      <c r="C21" s="538" t="inlineStr">
        <is>
          <t>M1</t>
        </is>
      </c>
      <c r="D21" s="540" t="inlineStr">
        <is>
          <t>M2</t>
        </is>
      </c>
      <c r="E21" s="539" t="inlineStr">
        <is>
          <t xml:space="preserve">M3 </t>
        </is>
      </c>
      <c r="F21" s="539" t="inlineStr">
        <is>
          <t>M4</t>
        </is>
      </c>
      <c r="G21" s="539" t="inlineStr">
        <is>
          <t>M5</t>
        </is>
      </c>
      <c r="H21" s="539" t="inlineStr">
        <is>
          <t>M6</t>
        </is>
      </c>
      <c r="I21" s="539" t="inlineStr">
        <is>
          <t>M7</t>
        </is>
      </c>
      <c r="J21" s="539" t="inlineStr">
        <is>
          <t>M8</t>
        </is>
      </c>
      <c r="K21" s="539" t="inlineStr">
        <is>
          <t>M9</t>
        </is>
      </c>
      <c r="L21" s="539" t="inlineStr">
        <is>
          <t>M10</t>
        </is>
      </c>
      <c r="M21" s="539" t="inlineStr">
        <is>
          <t>M11</t>
        </is>
      </c>
      <c r="N21" s="539" t="inlineStr">
        <is>
          <t>M12</t>
        </is>
      </c>
      <c r="O21" s="540" t="inlineStr">
        <is>
          <t>Yr 1</t>
        </is>
      </c>
      <c r="P21" s="538" t="inlineStr">
        <is>
          <t>Yr 2</t>
        </is>
      </c>
      <c r="Q21" s="539" t="inlineStr">
        <is>
          <t>Yr 3</t>
        </is>
      </c>
      <c r="R21" s="539" t="inlineStr">
        <is>
          <t>Yr 4</t>
        </is>
      </c>
      <c r="S21" s="541" t="inlineStr">
        <is>
          <t>Yr 5</t>
        </is>
      </c>
    </row>
    <row r="22" customFormat="1" s="159">
      <c r="A22" s="160">
        <f>+A5</f>
        <v/>
      </c>
      <c r="B22" s="578" t="n"/>
      <c r="C22" s="579">
        <f>+C5*$B5</f>
        <v/>
      </c>
      <c r="D22" s="580">
        <f>+D5*$B5</f>
        <v/>
      </c>
      <c r="E22" s="581">
        <f>+E5*$B5</f>
        <v/>
      </c>
      <c r="F22" s="582">
        <f>+F5*$B5</f>
        <v/>
      </c>
      <c r="G22" s="581">
        <f>+G5*$B5</f>
        <v/>
      </c>
      <c r="H22" s="582">
        <f>+H5*$B5</f>
        <v/>
      </c>
      <c r="I22" s="581">
        <f>+I5*$B5</f>
        <v/>
      </c>
      <c r="J22" s="582">
        <f>+J5*$B5</f>
        <v/>
      </c>
      <c r="K22" s="581">
        <f>+K5*$B5</f>
        <v/>
      </c>
      <c r="L22" s="582">
        <f>+L5*$B5</f>
        <v/>
      </c>
      <c r="M22" s="581">
        <f>+M5*$B5</f>
        <v/>
      </c>
      <c r="N22" s="582">
        <f>+N5*$B5</f>
        <v/>
      </c>
      <c r="O22" s="581">
        <f>SUM(C22:N22)</f>
        <v/>
      </c>
      <c r="P22" s="583">
        <f>+P5*$B5</f>
        <v/>
      </c>
      <c r="Q22" s="584">
        <f>+Q5*$B5</f>
        <v/>
      </c>
      <c r="R22" s="584">
        <f>+R5*$B5</f>
        <v/>
      </c>
      <c r="S22" s="585">
        <f>+S5*$B5</f>
        <v/>
      </c>
    </row>
    <row r="23" customFormat="1" s="159">
      <c r="A23" s="160">
        <f>+A6</f>
        <v/>
      </c>
      <c r="B23" s="578" t="n"/>
      <c r="C23" s="579">
        <f>+C6*$B6</f>
        <v/>
      </c>
      <c r="D23" s="580">
        <f>+D6*$B6</f>
        <v/>
      </c>
      <c r="E23" s="581">
        <f>+E6*$B6</f>
        <v/>
      </c>
      <c r="F23" s="580">
        <f>+F6*$B6</f>
        <v/>
      </c>
      <c r="G23" s="581">
        <f>+G6*$B6</f>
        <v/>
      </c>
      <c r="H23" s="580">
        <f>+H6*$B6</f>
        <v/>
      </c>
      <c r="I23" s="581">
        <f>+I6*$B6</f>
        <v/>
      </c>
      <c r="J23" s="580">
        <f>+J6*$B6</f>
        <v/>
      </c>
      <c r="K23" s="581">
        <f>+K6*$B6</f>
        <v/>
      </c>
      <c r="L23" s="580">
        <f>+L6*$B6</f>
        <v/>
      </c>
      <c r="M23" s="581">
        <f>+M6*$B6</f>
        <v/>
      </c>
      <c r="N23" s="580">
        <f>+N6*$B6</f>
        <v/>
      </c>
      <c r="O23" s="586">
        <f>SUM(C23:N23)</f>
        <v/>
      </c>
      <c r="P23" s="579">
        <f>+P6*$B6</f>
        <v/>
      </c>
      <c r="Q23" s="581">
        <f>+Q6*$B6</f>
        <v/>
      </c>
      <c r="R23" s="581">
        <f>+R6*$B6</f>
        <v/>
      </c>
      <c r="S23" s="586">
        <f>+S6*$B6</f>
        <v/>
      </c>
    </row>
    <row r="24" customFormat="1" s="159">
      <c r="A24" s="160">
        <f>+A7</f>
        <v/>
      </c>
      <c r="B24" s="578" t="n"/>
      <c r="C24" s="579">
        <f>+C7*$B7</f>
        <v/>
      </c>
      <c r="D24" s="580">
        <f>+D7*$B7</f>
        <v/>
      </c>
      <c r="E24" s="581">
        <f>+E7*$B7</f>
        <v/>
      </c>
      <c r="F24" s="580">
        <f>+F7*$B7</f>
        <v/>
      </c>
      <c r="G24" s="581">
        <f>+G7*$B7</f>
        <v/>
      </c>
      <c r="H24" s="580">
        <f>+H7*$B7</f>
        <v/>
      </c>
      <c r="I24" s="581">
        <f>+I7*$B7</f>
        <v/>
      </c>
      <c r="J24" s="580">
        <f>+J7*$B7</f>
        <v/>
      </c>
      <c r="K24" s="581">
        <f>+K7*$B7</f>
        <v/>
      </c>
      <c r="L24" s="580">
        <f>+L7*$B7</f>
        <v/>
      </c>
      <c r="M24" s="581">
        <f>+M7*$B7</f>
        <v/>
      </c>
      <c r="N24" s="580">
        <f>+N7*$B7</f>
        <v/>
      </c>
      <c r="O24" s="586">
        <f>SUM(C24:N24)</f>
        <v/>
      </c>
      <c r="P24" s="579">
        <f>+P7*$B7</f>
        <v/>
      </c>
      <c r="Q24" s="581">
        <f>+Q7*$B7</f>
        <v/>
      </c>
      <c r="R24" s="581">
        <f>+R7*$B7</f>
        <v/>
      </c>
      <c r="S24" s="586">
        <f>+S7*$B7</f>
        <v/>
      </c>
    </row>
    <row r="25" customFormat="1" s="159">
      <c r="A25" s="168" t="inlineStr">
        <is>
          <t>Enterprise 1 (Up to 10 Employees)</t>
        </is>
      </c>
      <c r="B25" s="578" t="n"/>
      <c r="C25" s="579">
        <f>+C8*$B8</f>
        <v/>
      </c>
      <c r="D25" s="580">
        <f>+D8*$B8</f>
        <v/>
      </c>
      <c r="E25" s="581">
        <f>+E8*$B8</f>
        <v/>
      </c>
      <c r="F25" s="580">
        <f>+F8*$B8</f>
        <v/>
      </c>
      <c r="G25" s="581">
        <f>+G8*$B8</f>
        <v/>
      </c>
      <c r="H25" s="580">
        <f>+H8*$B8</f>
        <v/>
      </c>
      <c r="I25" s="581">
        <f>+I8*$B8</f>
        <v/>
      </c>
      <c r="J25" s="580">
        <f>+J8*$B8</f>
        <v/>
      </c>
      <c r="K25" s="581">
        <f>+K8*$B8</f>
        <v/>
      </c>
      <c r="L25" s="580">
        <f>+L8*$B8</f>
        <v/>
      </c>
      <c r="M25" s="581">
        <f>+M8*$B8</f>
        <v/>
      </c>
      <c r="N25" s="580">
        <f>+N8*$B8</f>
        <v/>
      </c>
      <c r="O25" s="586">
        <f>SUM(C25:N25)</f>
        <v/>
      </c>
      <c r="P25" s="579">
        <f>+P8*$B8</f>
        <v/>
      </c>
      <c r="Q25" s="581">
        <f>+Q8*$B8</f>
        <v/>
      </c>
      <c r="R25" s="581">
        <f>+R8*$B8</f>
        <v/>
      </c>
      <c r="S25" s="586">
        <f>+S8*$B8</f>
        <v/>
      </c>
    </row>
    <row r="26" customFormat="1" s="159">
      <c r="A26" s="168" t="inlineStr">
        <is>
          <t>Enterprise 2 (Up to 25 Employees)</t>
        </is>
      </c>
      <c r="B26" s="578" t="n"/>
      <c r="C26" s="579">
        <f>+C9*$B9</f>
        <v/>
      </c>
      <c r="D26" s="580">
        <f>+D9*$B9</f>
        <v/>
      </c>
      <c r="E26" s="581">
        <f>+E9*$B9</f>
        <v/>
      </c>
      <c r="F26" s="580">
        <f>+F9*$B9</f>
        <v/>
      </c>
      <c r="G26" s="581">
        <f>+G9*$B9</f>
        <v/>
      </c>
      <c r="H26" s="580">
        <f>+H9*$B9</f>
        <v/>
      </c>
      <c r="I26" s="581">
        <f>+I9*$B9</f>
        <v/>
      </c>
      <c r="J26" s="580">
        <f>+J9*$B9</f>
        <v/>
      </c>
      <c r="K26" s="581">
        <f>+K9*$B9</f>
        <v/>
      </c>
      <c r="L26" s="580">
        <f>+L9*$B9</f>
        <v/>
      </c>
      <c r="M26" s="581">
        <f>+M9*$B9</f>
        <v/>
      </c>
      <c r="N26" s="580">
        <f>+N9*$B9</f>
        <v/>
      </c>
      <c r="O26" s="586">
        <f>SUM(C26:N26)</f>
        <v/>
      </c>
      <c r="P26" s="579">
        <f>+P9*$B9</f>
        <v/>
      </c>
      <c r="Q26" s="581">
        <f>+Q9*$B9</f>
        <v/>
      </c>
      <c r="R26" s="581">
        <f>+R9*$B9</f>
        <v/>
      </c>
      <c r="S26" s="586">
        <f>+S9*$B9</f>
        <v/>
      </c>
    </row>
    <row r="27" customFormat="1" s="159">
      <c r="A27" s="168" t="inlineStr">
        <is>
          <t>Enterprise 3  (Up to 50 Employees)</t>
        </is>
      </c>
      <c r="B27" s="578" t="n"/>
      <c r="C27" s="579">
        <f>+C10*$B10</f>
        <v/>
      </c>
      <c r="D27" s="580">
        <f>+D10*$B10</f>
        <v/>
      </c>
      <c r="E27" s="581">
        <f>+E10*$B10</f>
        <v/>
      </c>
      <c r="F27" s="580">
        <f>+F10*$B10</f>
        <v/>
      </c>
      <c r="G27" s="581">
        <f>+G10*$B10</f>
        <v/>
      </c>
      <c r="H27" s="580">
        <f>+H10*$B10</f>
        <v/>
      </c>
      <c r="I27" s="581">
        <f>+I10*$B10</f>
        <v/>
      </c>
      <c r="J27" s="580">
        <f>+J10*$B10</f>
        <v/>
      </c>
      <c r="K27" s="581">
        <f>+K10*$B10</f>
        <v/>
      </c>
      <c r="L27" s="580">
        <f>+L10*$B10</f>
        <v/>
      </c>
      <c r="M27" s="581">
        <f>+M10*$B10</f>
        <v/>
      </c>
      <c r="N27" s="580">
        <f>+N10*$B10</f>
        <v/>
      </c>
      <c r="O27" s="586">
        <f>SUM(C27:N27)</f>
        <v/>
      </c>
      <c r="P27" s="579">
        <f>+P10*$B10</f>
        <v/>
      </c>
      <c r="Q27" s="581">
        <f>+Q10*$B10</f>
        <v/>
      </c>
      <c r="R27" s="581">
        <f>+R10*$B10</f>
        <v/>
      </c>
      <c r="S27" s="586">
        <f>+S10*$B10</f>
        <v/>
      </c>
    </row>
    <row r="28" customFormat="1" s="159">
      <c r="A28" s="168" t="inlineStr">
        <is>
          <t>Enterprise 4  (Up to 99 Employees)</t>
        </is>
      </c>
      <c r="B28" s="578" t="n"/>
      <c r="C28" s="579">
        <f>+C11*$B11</f>
        <v/>
      </c>
      <c r="D28" s="580">
        <f>+D11*$B11</f>
        <v/>
      </c>
      <c r="E28" s="581">
        <f>+E11*$B11</f>
        <v/>
      </c>
      <c r="F28" s="580">
        <f>+F11*$B11</f>
        <v/>
      </c>
      <c r="G28" s="581">
        <f>+G11*$B11</f>
        <v/>
      </c>
      <c r="H28" s="580">
        <f>+H11*$B11</f>
        <v/>
      </c>
      <c r="I28" s="581">
        <f>+I11*$B11</f>
        <v/>
      </c>
      <c r="J28" s="580">
        <f>+J11*$B11</f>
        <v/>
      </c>
      <c r="K28" s="581">
        <f>+K11*$B11</f>
        <v/>
      </c>
      <c r="L28" s="580">
        <f>+L11*$B11</f>
        <v/>
      </c>
      <c r="M28" s="581">
        <f>+M11*$B11</f>
        <v/>
      </c>
      <c r="N28" s="580">
        <f>+N11*$B11</f>
        <v/>
      </c>
      <c r="O28" s="586">
        <f>SUM(C28:N28)</f>
        <v/>
      </c>
      <c r="P28" s="579">
        <f>+P11*$B11</f>
        <v/>
      </c>
      <c r="Q28" s="581">
        <f>+Q11*$B11</f>
        <v/>
      </c>
      <c r="R28" s="581">
        <f>+R11*$B11</f>
        <v/>
      </c>
      <c r="S28" s="586">
        <f>+S11*$B11</f>
        <v/>
      </c>
    </row>
    <row r="29" customFormat="1" s="159">
      <c r="A29" s="160">
        <f>+A12</f>
        <v/>
      </c>
      <c r="B29" s="578" t="n"/>
      <c r="C29" s="579">
        <f>+C12*$B12</f>
        <v/>
      </c>
      <c r="D29" s="580">
        <f>+D12*$B12</f>
        <v/>
      </c>
      <c r="E29" s="581">
        <f>+E12*$B12</f>
        <v/>
      </c>
      <c r="F29" s="580">
        <f>+F12*$B12</f>
        <v/>
      </c>
      <c r="G29" s="581">
        <f>+G12*$B12</f>
        <v/>
      </c>
      <c r="H29" s="580">
        <f>+H12*$B12</f>
        <v/>
      </c>
      <c r="I29" s="581">
        <f>+I12*$B12</f>
        <v/>
      </c>
      <c r="J29" s="580">
        <f>+J12*$B12</f>
        <v/>
      </c>
      <c r="K29" s="581">
        <f>+K12*$B12</f>
        <v/>
      </c>
      <c r="L29" s="580">
        <f>+L12*$B12</f>
        <v/>
      </c>
      <c r="M29" s="581">
        <f>+M12*$B12</f>
        <v/>
      </c>
      <c r="N29" s="580">
        <f>+N12*$B12</f>
        <v/>
      </c>
      <c r="O29" s="586">
        <f>SUM(C29:N29)</f>
        <v/>
      </c>
      <c r="P29" s="579">
        <f>+P12*$B12</f>
        <v/>
      </c>
      <c r="Q29" s="581">
        <f>+Q12*$B12</f>
        <v/>
      </c>
      <c r="R29" s="581">
        <f>+R12*$B12</f>
        <v/>
      </c>
      <c r="S29" s="586">
        <f>+S12*$B12</f>
        <v/>
      </c>
    </row>
    <row r="30" customFormat="1" s="159">
      <c r="A30" s="160">
        <f>+A13</f>
        <v/>
      </c>
      <c r="B30" s="578" t="n"/>
      <c r="C30" s="579">
        <f>+C13*$B13</f>
        <v/>
      </c>
      <c r="D30" s="580">
        <f>+D13*$B13</f>
        <v/>
      </c>
      <c r="E30" s="581">
        <f>+E13*$B13</f>
        <v/>
      </c>
      <c r="F30" s="580">
        <f>+F13*$B13</f>
        <v/>
      </c>
      <c r="G30" s="581">
        <f>+G13*$B13</f>
        <v/>
      </c>
      <c r="H30" s="580">
        <f>+H13*$B13</f>
        <v/>
      </c>
      <c r="I30" s="581">
        <f>+I13*$B13</f>
        <v/>
      </c>
      <c r="J30" s="580">
        <f>+J13*$B13</f>
        <v/>
      </c>
      <c r="K30" s="581">
        <f>+K13*$B13</f>
        <v/>
      </c>
      <c r="L30" s="580">
        <f>+L13*$B13</f>
        <v/>
      </c>
      <c r="M30" s="581">
        <f>+M13*$B13</f>
        <v/>
      </c>
      <c r="N30" s="580">
        <f>+N13*$B13</f>
        <v/>
      </c>
      <c r="O30" s="586">
        <f>SUM(C30:N30)</f>
        <v/>
      </c>
      <c r="P30" s="579">
        <f>+P13*$B13</f>
        <v/>
      </c>
      <c r="Q30" s="581">
        <f>+Q13*$B13</f>
        <v/>
      </c>
      <c r="R30" s="581">
        <f>+R13*$B13</f>
        <v/>
      </c>
      <c r="S30" s="586">
        <f>+S13*$B13</f>
        <v/>
      </c>
    </row>
    <row r="31" customFormat="1" s="159">
      <c r="A31" s="160">
        <f>+A14</f>
        <v/>
      </c>
      <c r="B31" s="578" t="n"/>
      <c r="C31" s="579">
        <f>+C14*$B14</f>
        <v/>
      </c>
      <c r="D31" s="580">
        <f>+D14*$B14</f>
        <v/>
      </c>
      <c r="E31" s="581">
        <f>+E14*$B14</f>
        <v/>
      </c>
      <c r="F31" s="580">
        <f>+F14*$B14</f>
        <v/>
      </c>
      <c r="G31" s="581">
        <f>+G14*$B14</f>
        <v/>
      </c>
      <c r="H31" s="580">
        <f>+H14*$B14</f>
        <v/>
      </c>
      <c r="I31" s="581">
        <f>+I14*$B14</f>
        <v/>
      </c>
      <c r="J31" s="580">
        <f>+J14*$B14</f>
        <v/>
      </c>
      <c r="K31" s="581">
        <f>+K14*$B14</f>
        <v/>
      </c>
      <c r="L31" s="580">
        <f>+L14*$B14</f>
        <v/>
      </c>
      <c r="M31" s="581">
        <f>+M14*$B14</f>
        <v/>
      </c>
      <c r="N31" s="580">
        <f>+N14*$B14</f>
        <v/>
      </c>
      <c r="O31" s="586">
        <f>SUM(C31:N31)</f>
        <v/>
      </c>
      <c r="P31" s="579">
        <f>+P14*$B14</f>
        <v/>
      </c>
      <c r="Q31" s="581">
        <f>+Q14*$B14</f>
        <v/>
      </c>
      <c r="R31" s="581">
        <f>+R14*$B14</f>
        <v/>
      </c>
      <c r="S31" s="586">
        <f>+S14*$B14</f>
        <v/>
      </c>
    </row>
    <row r="32" customFormat="1" s="159">
      <c r="A32" s="160">
        <f>+A15</f>
        <v/>
      </c>
      <c r="B32" s="578" t="n"/>
      <c r="C32" s="579">
        <f>+C15*$B15</f>
        <v/>
      </c>
      <c r="D32" s="580">
        <f>+D15*$B15</f>
        <v/>
      </c>
      <c r="E32" s="581">
        <f>+E15*$B15</f>
        <v/>
      </c>
      <c r="F32" s="580">
        <f>+F15*$B15</f>
        <v/>
      </c>
      <c r="G32" s="581">
        <f>+G15*$B15</f>
        <v/>
      </c>
      <c r="H32" s="580">
        <f>+H15*$B15</f>
        <v/>
      </c>
      <c r="I32" s="581">
        <f>+I15*$B15</f>
        <v/>
      </c>
      <c r="J32" s="580">
        <f>+J15*$B15</f>
        <v/>
      </c>
      <c r="K32" s="581">
        <f>+K15*$B15</f>
        <v/>
      </c>
      <c r="L32" s="580">
        <f>+L15*$B15</f>
        <v/>
      </c>
      <c r="M32" s="581">
        <f>+M15*$B15</f>
        <v/>
      </c>
      <c r="N32" s="580">
        <f>+N15*$B15</f>
        <v/>
      </c>
      <c r="O32" s="586">
        <f>SUM(C32:N32)</f>
        <v/>
      </c>
      <c r="P32" s="579">
        <f>+P15*$B15</f>
        <v/>
      </c>
      <c r="Q32" s="581">
        <f>+Q15*$B15</f>
        <v/>
      </c>
      <c r="R32" s="581">
        <f>+R15*$B15</f>
        <v/>
      </c>
      <c r="S32" s="586">
        <f>+S15*$B15</f>
        <v/>
      </c>
    </row>
    <row r="33" customFormat="1" s="159">
      <c r="A33" s="160">
        <f>+A16</f>
        <v/>
      </c>
      <c r="B33" s="578" t="n"/>
      <c r="C33" s="579">
        <f>+C16*$B16</f>
        <v/>
      </c>
      <c r="D33" s="580">
        <f>+D16*$B16</f>
        <v/>
      </c>
      <c r="E33" s="581">
        <f>+E16*$B16</f>
        <v/>
      </c>
      <c r="F33" s="580">
        <f>+F16*$B16</f>
        <v/>
      </c>
      <c r="G33" s="581">
        <f>+G16*$B16</f>
        <v/>
      </c>
      <c r="H33" s="580">
        <f>+H16*$B16</f>
        <v/>
      </c>
      <c r="I33" s="581">
        <f>+I16*$B16</f>
        <v/>
      </c>
      <c r="J33" s="580">
        <f>+J16*$B16</f>
        <v/>
      </c>
      <c r="K33" s="581">
        <f>+K16*$B16</f>
        <v/>
      </c>
      <c r="L33" s="580">
        <f>+L16*$B16</f>
        <v/>
      </c>
      <c r="M33" s="581">
        <f>+M16*$B16</f>
        <v/>
      </c>
      <c r="N33" s="580">
        <f>+N16*$B16</f>
        <v/>
      </c>
      <c r="O33" s="586">
        <f>SUM(C33:N33)</f>
        <v/>
      </c>
      <c r="P33" s="579">
        <f>+P16*$B16</f>
        <v/>
      </c>
      <c r="Q33" s="581">
        <f>+Q16*$B16</f>
        <v/>
      </c>
      <c r="R33" s="581">
        <f>+R16*$B16</f>
        <v/>
      </c>
      <c r="S33" s="586">
        <f>+S16*$B16</f>
        <v/>
      </c>
    </row>
    <row r="34" ht="13.5" customFormat="1" customHeight="1" s="159" thickBot="1">
      <c r="A34" s="160">
        <f>+A17</f>
        <v/>
      </c>
      <c r="B34" s="578" t="n"/>
      <c r="C34" s="579">
        <f>+C17*$B17</f>
        <v/>
      </c>
      <c r="D34" s="587">
        <f>+D17*$B17</f>
        <v/>
      </c>
      <c r="E34" s="581">
        <f>+E17*$B17</f>
        <v/>
      </c>
      <c r="F34" s="587">
        <f>+F17*$B17</f>
        <v/>
      </c>
      <c r="G34" s="581">
        <f>+G17*$B17</f>
        <v/>
      </c>
      <c r="H34" s="587">
        <f>+H17*$B17</f>
        <v/>
      </c>
      <c r="I34" s="581">
        <f>+I17*$B17</f>
        <v/>
      </c>
      <c r="J34" s="587">
        <f>+J17*$B17</f>
        <v/>
      </c>
      <c r="K34" s="581">
        <f>+K17*$B17</f>
        <v/>
      </c>
      <c r="L34" s="587">
        <f>+L17*$B17</f>
        <v/>
      </c>
      <c r="M34" s="581">
        <f>+M17*$B17</f>
        <v/>
      </c>
      <c r="N34" s="587">
        <f>+N17*$B17</f>
        <v/>
      </c>
      <c r="O34" s="586">
        <f>SUM(C34:N34)</f>
        <v/>
      </c>
      <c r="P34" s="588">
        <f>+P17*$B17</f>
        <v/>
      </c>
      <c r="Q34" s="589">
        <f>+Q17*$B17</f>
        <v/>
      </c>
      <c r="R34" s="589">
        <f>+R17*$B17</f>
        <v/>
      </c>
      <c r="S34" s="590">
        <f>+S17*$B17</f>
        <v/>
      </c>
    </row>
    <row r="35" ht="13.5" customFormat="1" customHeight="1" s="150" thickBot="1">
      <c r="A35" s="183" t="inlineStr">
        <is>
          <t>Total sales</t>
        </is>
      </c>
      <c r="B35" s="210" t="n"/>
      <c r="C35" s="591">
        <f>SUM(C22:C34)</f>
        <v/>
      </c>
      <c r="D35" s="591">
        <f>SUM(D22:D34)</f>
        <v/>
      </c>
      <c r="E35" s="591">
        <f>SUM(E22:E34)</f>
        <v/>
      </c>
      <c r="F35" s="591">
        <f>SUM(F22:F34)</f>
        <v/>
      </c>
      <c r="G35" s="591">
        <f>SUM(G22:G34)</f>
        <v/>
      </c>
      <c r="H35" s="591">
        <f>SUM(H22:H34)</f>
        <v/>
      </c>
      <c r="I35" s="591">
        <f>SUM(I22:I34)</f>
        <v/>
      </c>
      <c r="J35" s="591">
        <f>SUM(J22:J34)</f>
        <v/>
      </c>
      <c r="K35" s="591">
        <f>SUM(K22:K34)</f>
        <v/>
      </c>
      <c r="L35" s="591">
        <f>SUM(L22:L34)</f>
        <v/>
      </c>
      <c r="M35" s="591">
        <f>SUM(M22:M34)</f>
        <v/>
      </c>
      <c r="N35" s="591">
        <f>SUM(N22:N34)</f>
        <v/>
      </c>
      <c r="O35" s="592">
        <f>SUM(O22:O26)</f>
        <v/>
      </c>
      <c r="P35" s="593">
        <f>SUM(P22:P34)</f>
        <v/>
      </c>
      <c r="Q35" s="591">
        <f>SUM(Q22:Q34)</f>
        <v/>
      </c>
      <c r="R35" s="591">
        <f>SUM(R22:R34)</f>
        <v/>
      </c>
      <c r="S35" s="594">
        <f>SUM(S22:S34)</f>
        <v/>
      </c>
      <c r="T35" s="159" t="n"/>
    </row>
    <row r="36" customFormat="1" s="150">
      <c r="A36" s="213" t="n"/>
      <c r="C36" s="595" t="n"/>
      <c r="D36" s="595" t="n"/>
      <c r="E36" s="595" t="n"/>
      <c r="F36" s="595" t="n"/>
      <c r="G36" s="595" t="n"/>
      <c r="H36" s="595" t="n"/>
      <c r="I36" s="595" t="n"/>
      <c r="J36" s="595" t="n"/>
      <c r="K36" s="595" t="n"/>
      <c r="L36" s="595" t="n"/>
      <c r="M36" s="595" t="n"/>
      <c r="N36" s="595" t="n"/>
      <c r="O36" s="595" t="n"/>
      <c r="P36" s="595" t="n"/>
      <c r="Q36" s="595" t="n"/>
      <c r="R36" s="595" t="n"/>
      <c r="S36" s="595" t="n"/>
    </row>
    <row r="37" ht="13.5" customFormat="1" customHeight="1" s="150" thickBot="1">
      <c r="A37" s="194" t="n"/>
    </row>
    <row r="38" ht="13.5" customFormat="1" customHeight="1" s="150" thickBot="1">
      <c r="A38" s="144" t="inlineStr">
        <is>
          <t>Costs</t>
        </is>
      </c>
      <c r="B38" s="145" t="n"/>
      <c r="C38" s="538" t="inlineStr">
        <is>
          <t>M1</t>
        </is>
      </c>
      <c r="D38" s="539" t="inlineStr">
        <is>
          <t>M2</t>
        </is>
      </c>
      <c r="E38" s="539" t="inlineStr">
        <is>
          <t xml:space="preserve">M3 </t>
        </is>
      </c>
      <c r="F38" s="539" t="inlineStr">
        <is>
          <t>M4</t>
        </is>
      </c>
      <c r="G38" s="539" t="inlineStr">
        <is>
          <t>M5</t>
        </is>
      </c>
      <c r="H38" s="539" t="inlineStr">
        <is>
          <t>M6</t>
        </is>
      </c>
      <c r="I38" s="539" t="inlineStr">
        <is>
          <t>M7</t>
        </is>
      </c>
      <c r="J38" s="539" t="inlineStr">
        <is>
          <t>M8</t>
        </is>
      </c>
      <c r="K38" s="539" t="inlineStr">
        <is>
          <t>M9</t>
        </is>
      </c>
      <c r="L38" s="539" t="inlineStr">
        <is>
          <t>M10</t>
        </is>
      </c>
      <c r="M38" s="539" t="inlineStr">
        <is>
          <t>M11</t>
        </is>
      </c>
      <c r="N38" s="539" t="inlineStr">
        <is>
          <t>M12</t>
        </is>
      </c>
      <c r="O38" s="540" t="inlineStr">
        <is>
          <t>Yr 1</t>
        </is>
      </c>
      <c r="P38" s="596" t="inlineStr">
        <is>
          <t>Yr 2</t>
        </is>
      </c>
      <c r="Q38" s="597" t="inlineStr">
        <is>
          <t>Yr 3</t>
        </is>
      </c>
      <c r="R38" s="597" t="inlineStr">
        <is>
          <t>Yr 4</t>
        </is>
      </c>
      <c r="S38" s="598" t="inlineStr">
        <is>
          <t>Yr 5</t>
        </is>
      </c>
    </row>
    <row r="39" customFormat="1" s="150">
      <c r="A39" s="218" t="inlineStr">
        <is>
          <t>Airtime Vouchers (PPS)</t>
        </is>
      </c>
      <c r="B39" s="219" t="n"/>
      <c r="C39" s="599">
        <f t="array" ref="C39">Assums!$C$34*SUM(C5:C7/3)</f>
        <v/>
      </c>
      <c r="D39" s="599">
        <f t="array" ref="D39">Assums!$C$34*SUM(D5:D7/3)</f>
        <v/>
      </c>
      <c r="E39" s="599">
        <f t="array" ref="E39">Assums!$C$34*SUM(E5:E7/3)</f>
        <v/>
      </c>
      <c r="F39" s="599">
        <f t="array" ref="F39">Assums!$C$34*SUM(F5:F7/3)</f>
        <v/>
      </c>
      <c r="G39" s="599">
        <f t="array" ref="G39">Assums!$C$34*SUM(G5:G7/3)</f>
        <v/>
      </c>
      <c r="H39" s="599">
        <f t="array" ref="H39">Assums!$C$34*SUM(H5:H7/3)</f>
        <v/>
      </c>
      <c r="I39" s="599">
        <f t="array" ref="I39">Assums!$C$34*SUM(I5:I7/3)</f>
        <v/>
      </c>
      <c r="J39" s="599">
        <f t="array" ref="J39">Assums!$C$34*SUM(J5:J7/3)</f>
        <v/>
      </c>
      <c r="K39" s="599">
        <f t="array" ref="K39">Assums!$C$34*SUM(K5:K7/3)</f>
        <v/>
      </c>
      <c r="L39" s="599">
        <f t="array" ref="L39">Assums!$C$34*SUM(L5:L7/3)</f>
        <v/>
      </c>
      <c r="M39" s="599">
        <f t="array" ref="M39">Assums!$C$34*SUM(M5:M7/3)</f>
        <v/>
      </c>
      <c r="N39" s="599">
        <f t="array" ref="N39">Assums!$C$34*SUM(N5:N7/3)</f>
        <v/>
      </c>
      <c r="O39" s="600">
        <f t="array" ref="O39">Assums!$C$34*SUM(O5:O7/3)</f>
        <v/>
      </c>
      <c r="P39" s="599">
        <f t="array" ref="P39">Assums!$C$34*SUM(P5:P7/3)</f>
        <v/>
      </c>
      <c r="Q39" s="599">
        <f t="array" ref="Q39">Assums!$C$34*SUM(Q5:Q7/3)</f>
        <v/>
      </c>
      <c r="R39" s="599">
        <f t="array" ref="R39">Assums!$C$34*SUM(R5:R7/3)</f>
        <v/>
      </c>
      <c r="S39" s="599">
        <f t="array" ref="S39">Assums!$C$34*SUM(S5:S7/3)</f>
        <v/>
      </c>
      <c r="T39" s="159" t="n"/>
    </row>
    <row r="40" customFormat="1" s="159">
      <c r="A40" s="218" t="inlineStr">
        <is>
          <t>Kiosk Staff</t>
        </is>
      </c>
      <c r="B40" s="160" t="n">
        <v>15</v>
      </c>
      <c r="C40" s="601">
        <f>Assums!C36</f>
        <v/>
      </c>
      <c r="D40" s="601">
        <f>C40</f>
        <v/>
      </c>
      <c r="E40" s="601">
        <f>D40</f>
        <v/>
      </c>
      <c r="F40" s="601">
        <f>E40</f>
        <v/>
      </c>
      <c r="G40" s="601">
        <f>F40</f>
        <v/>
      </c>
      <c r="H40" s="601">
        <f>G40</f>
        <v/>
      </c>
      <c r="I40" s="601">
        <f>H40</f>
        <v/>
      </c>
      <c r="J40" s="601">
        <f>I40</f>
        <v/>
      </c>
      <c r="K40" s="601">
        <f>J40</f>
        <v/>
      </c>
      <c r="L40" s="601">
        <f>K40</f>
        <v/>
      </c>
      <c r="M40" s="601">
        <f>L40</f>
        <v/>
      </c>
      <c r="N40" s="601">
        <f>M40</f>
        <v/>
      </c>
      <c r="O40" s="602">
        <f>SUM(C40:N40)</f>
        <v/>
      </c>
      <c r="P40" s="562">
        <f>Assums!E36</f>
        <v/>
      </c>
      <c r="Q40" s="562">
        <f>Assums!F36</f>
        <v/>
      </c>
      <c r="R40" s="562">
        <f>Assums!G36</f>
        <v/>
      </c>
      <c r="S40" s="563">
        <f>Assums!H36</f>
        <v/>
      </c>
    </row>
    <row r="41" customFormat="1" s="159">
      <c r="A41" s="218" t="inlineStr">
        <is>
          <t>Customer Service</t>
        </is>
      </c>
      <c r="B41" s="160" t="n">
        <v>8</v>
      </c>
      <c r="C41" s="601">
        <f>Assums!C38</f>
        <v/>
      </c>
      <c r="D41" s="601">
        <f>C41</f>
        <v/>
      </c>
      <c r="E41" s="601">
        <f>D41</f>
        <v/>
      </c>
      <c r="F41" s="601">
        <f>E41</f>
        <v/>
      </c>
      <c r="G41" s="601">
        <f>F41</f>
        <v/>
      </c>
      <c r="H41" s="601">
        <f>G41</f>
        <v/>
      </c>
      <c r="I41" s="601">
        <f>H41</f>
        <v/>
      </c>
      <c r="J41" s="601">
        <f>I41</f>
        <v/>
      </c>
      <c r="K41" s="601">
        <f>J41</f>
        <v/>
      </c>
      <c r="L41" s="601">
        <f>K41</f>
        <v/>
      </c>
      <c r="M41" s="601">
        <f>L41</f>
        <v/>
      </c>
      <c r="N41" s="601">
        <f>M41</f>
        <v/>
      </c>
      <c r="O41" s="602">
        <f>SUM(C41:N41)</f>
        <v/>
      </c>
      <c r="P41" s="562">
        <f>Assums!F38</f>
        <v/>
      </c>
      <c r="Q41" s="562">
        <f>Assums!G38</f>
        <v/>
      </c>
      <c r="R41" s="562">
        <f>Assums!H38</f>
        <v/>
      </c>
      <c r="S41" s="563">
        <f>Assums!I38</f>
        <v/>
      </c>
    </row>
    <row r="42" customFormat="1" s="159">
      <c r="A42" s="168" t="inlineStr">
        <is>
          <t>Salaries</t>
        </is>
      </c>
      <c r="B42" s="160" t="n"/>
      <c r="C42" s="601">
        <f>Assums!C52</f>
        <v/>
      </c>
      <c r="D42" s="601">
        <f>C42</f>
        <v/>
      </c>
      <c r="E42" s="601">
        <f>D42</f>
        <v/>
      </c>
      <c r="F42" s="601">
        <f>E42</f>
        <v/>
      </c>
      <c r="G42" s="601">
        <f>F42</f>
        <v/>
      </c>
      <c r="H42" s="601">
        <f>G42</f>
        <v/>
      </c>
      <c r="I42" s="601">
        <f>H42</f>
        <v/>
      </c>
      <c r="J42" s="601">
        <f>I42</f>
        <v/>
      </c>
      <c r="K42" s="601">
        <f>J42</f>
        <v/>
      </c>
      <c r="L42" s="601">
        <f>K42</f>
        <v/>
      </c>
      <c r="M42" s="601">
        <f>L42</f>
        <v/>
      </c>
      <c r="N42" s="601">
        <f>M42</f>
        <v/>
      </c>
      <c r="O42" s="602">
        <f>SUM(C42:N42)</f>
        <v/>
      </c>
      <c r="P42" s="562">
        <f>Assums!F52</f>
        <v/>
      </c>
      <c r="Q42" s="562">
        <f>Assums!G52</f>
        <v/>
      </c>
      <c r="R42" s="562">
        <f>Assums!H52</f>
        <v/>
      </c>
      <c r="S42" s="563">
        <f>Assums!I52</f>
        <v/>
      </c>
    </row>
    <row r="43" customFormat="1" s="159">
      <c r="A43" s="168" t="inlineStr">
        <is>
          <t>Office Rent</t>
        </is>
      </c>
      <c r="B43" s="160" t="n"/>
      <c r="C43" s="601">
        <f>Assums!C54</f>
        <v/>
      </c>
      <c r="D43" s="601">
        <f>C43</f>
        <v/>
      </c>
      <c r="E43" s="601">
        <f>D43</f>
        <v/>
      </c>
      <c r="F43" s="601">
        <f>E43</f>
        <v/>
      </c>
      <c r="G43" s="601">
        <f>F43</f>
        <v/>
      </c>
      <c r="H43" s="601">
        <f>G43</f>
        <v/>
      </c>
      <c r="I43" s="601">
        <f>H43</f>
        <v/>
      </c>
      <c r="J43" s="601">
        <f>I43</f>
        <v/>
      </c>
      <c r="K43" s="601">
        <f>J43</f>
        <v/>
      </c>
      <c r="L43" s="601">
        <f>K43</f>
        <v/>
      </c>
      <c r="M43" s="601">
        <f>L43</f>
        <v/>
      </c>
      <c r="N43" s="601">
        <f>M43</f>
        <v/>
      </c>
      <c r="O43" s="602">
        <f>SUM(C43:N43)</f>
        <v/>
      </c>
      <c r="P43" s="562">
        <f>Assums!F54</f>
        <v/>
      </c>
      <c r="Q43" s="562">
        <f>Assums!G54</f>
        <v/>
      </c>
      <c r="R43" s="562">
        <f>Assums!H54</f>
        <v/>
      </c>
      <c r="S43" s="563">
        <f>Assums!I54</f>
        <v/>
      </c>
    </row>
    <row r="44" customFormat="1" s="159">
      <c r="A44" s="168" t="inlineStr">
        <is>
          <t>Utilities</t>
        </is>
      </c>
      <c r="B44" s="160" t="n"/>
      <c r="C44" s="601">
        <f>Assums!C56</f>
        <v/>
      </c>
      <c r="D44" s="601">
        <f>C44</f>
        <v/>
      </c>
      <c r="E44" s="601">
        <f>D44</f>
        <v/>
      </c>
      <c r="F44" s="601">
        <f>E44</f>
        <v/>
      </c>
      <c r="G44" s="601">
        <f>F44</f>
        <v/>
      </c>
      <c r="H44" s="601">
        <f>G44</f>
        <v/>
      </c>
      <c r="I44" s="601">
        <f>H44</f>
        <v/>
      </c>
      <c r="J44" s="601">
        <f>I44</f>
        <v/>
      </c>
      <c r="K44" s="601">
        <f>J44</f>
        <v/>
      </c>
      <c r="L44" s="601">
        <f>K44</f>
        <v/>
      </c>
      <c r="M44" s="601">
        <f>L44</f>
        <v/>
      </c>
      <c r="N44" s="601">
        <f>M44</f>
        <v/>
      </c>
      <c r="O44" s="602">
        <f>SUM(C44:N44)</f>
        <v/>
      </c>
      <c r="P44" s="562">
        <f>Assums!F56</f>
        <v/>
      </c>
      <c r="Q44" s="562">
        <f>Assums!G56</f>
        <v/>
      </c>
      <c r="R44" s="562">
        <f>Assums!H56</f>
        <v/>
      </c>
      <c r="S44" s="563">
        <f>Assums!I56</f>
        <v/>
      </c>
    </row>
    <row r="45" customFormat="1" s="159">
      <c r="A45" s="218" t="inlineStr">
        <is>
          <t>Repairs and Maintenance</t>
        </is>
      </c>
      <c r="B45" s="160" t="n"/>
      <c r="C45" s="601">
        <f>Assums!C58</f>
        <v/>
      </c>
      <c r="D45" s="601">
        <f>C45</f>
        <v/>
      </c>
      <c r="E45" s="601">
        <f>D45</f>
        <v/>
      </c>
      <c r="F45" s="601">
        <f>E45</f>
        <v/>
      </c>
      <c r="G45" s="601">
        <f>F45</f>
        <v/>
      </c>
      <c r="H45" s="601">
        <f>G45</f>
        <v/>
      </c>
      <c r="I45" s="601">
        <f>H45</f>
        <v/>
      </c>
      <c r="J45" s="601">
        <f>I45</f>
        <v/>
      </c>
      <c r="K45" s="601">
        <f>J45</f>
        <v/>
      </c>
      <c r="L45" s="601">
        <f>K45</f>
        <v/>
      </c>
      <c r="M45" s="601">
        <f>L45</f>
        <v/>
      </c>
      <c r="N45" s="601">
        <f>M45</f>
        <v/>
      </c>
      <c r="O45" s="602">
        <f>SUM(C45:N45)</f>
        <v/>
      </c>
      <c r="P45" s="562">
        <f>Assums!F58</f>
        <v/>
      </c>
      <c r="Q45" s="562">
        <f>Assums!G58</f>
        <v/>
      </c>
      <c r="R45" s="562">
        <f>Assums!H58</f>
        <v/>
      </c>
      <c r="S45" s="563">
        <f>Assums!I58</f>
        <v/>
      </c>
    </row>
    <row r="46" customFormat="1" s="159">
      <c r="A46" s="218" t="inlineStr">
        <is>
          <t>Marketing</t>
        </is>
      </c>
      <c r="B46" s="160" t="n"/>
      <c r="C46" s="601">
        <f>Assums!C32</f>
        <v/>
      </c>
      <c r="D46" s="601">
        <f>C46</f>
        <v/>
      </c>
      <c r="E46" s="601">
        <f>D46</f>
        <v/>
      </c>
      <c r="F46" s="601">
        <f>E46</f>
        <v/>
      </c>
      <c r="G46" s="601">
        <f>F46</f>
        <v/>
      </c>
      <c r="H46" s="601">
        <f>G46</f>
        <v/>
      </c>
      <c r="I46" s="601">
        <f>H46</f>
        <v/>
      </c>
      <c r="J46" s="601">
        <f>I46</f>
        <v/>
      </c>
      <c r="K46" s="601">
        <f>J46</f>
        <v/>
      </c>
      <c r="L46" s="601">
        <f>K46</f>
        <v/>
      </c>
      <c r="M46" s="601">
        <f>L46</f>
        <v/>
      </c>
      <c r="N46" s="601">
        <f>M46</f>
        <v/>
      </c>
      <c r="O46" s="602">
        <f>SUM(C46:N46)</f>
        <v/>
      </c>
      <c r="P46" s="562">
        <f>SUM(O46*1)</f>
        <v/>
      </c>
      <c r="Q46" s="562">
        <f>SUM(P46*1)</f>
        <v/>
      </c>
      <c r="R46" s="562">
        <f>SUM(Q46*1)</f>
        <v/>
      </c>
      <c r="S46" s="563">
        <f>SUM(R46*1)</f>
        <v/>
      </c>
    </row>
    <row r="47" customFormat="1" s="159">
      <c r="A47" s="218" t="inlineStr">
        <is>
          <t>Admin</t>
        </is>
      </c>
      <c r="B47" s="160" t="n"/>
      <c r="C47" s="601">
        <f>Assums!C62</f>
        <v/>
      </c>
      <c r="D47" s="601">
        <f>C47</f>
        <v/>
      </c>
      <c r="E47" s="601">
        <f>D47</f>
        <v/>
      </c>
      <c r="F47" s="601">
        <f>E47</f>
        <v/>
      </c>
      <c r="G47" s="601">
        <f>F47</f>
        <v/>
      </c>
      <c r="H47" s="601">
        <f>G47</f>
        <v/>
      </c>
      <c r="I47" s="601">
        <f>H47</f>
        <v/>
      </c>
      <c r="J47" s="601">
        <f>I47</f>
        <v/>
      </c>
      <c r="K47" s="601">
        <f>J47</f>
        <v/>
      </c>
      <c r="L47" s="601">
        <f>K47</f>
        <v/>
      </c>
      <c r="M47" s="601">
        <f>L47</f>
        <v/>
      </c>
      <c r="N47" s="601">
        <f>M47</f>
        <v/>
      </c>
      <c r="O47" s="602">
        <f>SUM(C47:N47)</f>
        <v/>
      </c>
      <c r="P47" s="562">
        <f>SUM(O47*1.7)</f>
        <v/>
      </c>
      <c r="Q47" s="562">
        <f>SUM(P47*1.7)</f>
        <v/>
      </c>
      <c r="R47" s="562">
        <f>SUM(Q47*1)</f>
        <v/>
      </c>
      <c r="S47" s="563">
        <f>SUM(R47*1)</f>
        <v/>
      </c>
    </row>
    <row r="48" customFormat="1" s="159">
      <c r="A48" s="218" t="inlineStr">
        <is>
          <t>Fiber Optic Lease</t>
        </is>
      </c>
      <c r="B48" s="160" t="n"/>
      <c r="C48" s="603" t="n">
        <v>677350</v>
      </c>
      <c r="D48" s="603">
        <f>SUM(C48*1)</f>
        <v/>
      </c>
      <c r="E48" s="603">
        <f>SUM(D48*1)</f>
        <v/>
      </c>
      <c r="F48" s="603">
        <f>SUM(E48*1)</f>
        <v/>
      </c>
      <c r="G48" s="603">
        <f>SUM(F48*1)</f>
        <v/>
      </c>
      <c r="H48" s="603">
        <f>SUM(G48*1.4)</f>
        <v/>
      </c>
      <c r="I48" s="603">
        <f>SUM(H48*1)</f>
        <v/>
      </c>
      <c r="J48" s="603">
        <f>SUM(I48*1)</f>
        <v/>
      </c>
      <c r="K48" s="603">
        <f>SUM(J48*1)</f>
        <v/>
      </c>
      <c r="L48" s="603">
        <f>SUM(K48*1)</f>
        <v/>
      </c>
      <c r="M48" s="603">
        <f>SUM(L48*1)</f>
        <v/>
      </c>
      <c r="N48" s="603">
        <f>SUM(M48*1)</f>
        <v/>
      </c>
      <c r="O48" s="602">
        <f>SUM(C48:N48)</f>
        <v/>
      </c>
      <c r="P48" s="562">
        <f>Assums!F64</f>
        <v/>
      </c>
      <c r="Q48" s="562">
        <f>Assums!G64</f>
        <v/>
      </c>
      <c r="R48" s="562">
        <f>Assums!H64</f>
        <v/>
      </c>
      <c r="S48" s="563">
        <f>Assums!I64</f>
        <v/>
      </c>
    </row>
    <row r="49" customFormat="1" s="159">
      <c r="A49" s="218" t="inlineStr">
        <is>
          <t>Professional and Legal  Costs</t>
        </is>
      </c>
      <c r="B49" s="160" t="n"/>
      <c r="C49" s="601">
        <f>Assums!C72</f>
        <v/>
      </c>
      <c r="D49" s="601">
        <f>C49</f>
        <v/>
      </c>
      <c r="E49" s="601">
        <f>D49</f>
        <v/>
      </c>
      <c r="F49" s="601">
        <f>E49</f>
        <v/>
      </c>
      <c r="G49" s="601">
        <f>F49</f>
        <v/>
      </c>
      <c r="H49" s="601">
        <f>G49</f>
        <v/>
      </c>
      <c r="I49" s="601">
        <f>H49</f>
        <v/>
      </c>
      <c r="J49" s="601">
        <f>I49</f>
        <v/>
      </c>
      <c r="K49" s="601">
        <f>J49</f>
        <v/>
      </c>
      <c r="L49" s="601">
        <f>K49</f>
        <v/>
      </c>
      <c r="M49" s="601">
        <f>L49</f>
        <v/>
      </c>
      <c r="N49" s="601">
        <f>M49</f>
        <v/>
      </c>
      <c r="O49" s="602">
        <f>SUM(C49:N49)</f>
        <v/>
      </c>
      <c r="P49" s="562">
        <f>Assums!F72</f>
        <v/>
      </c>
      <c r="Q49" s="562">
        <f>Assums!G72</f>
        <v/>
      </c>
      <c r="R49" s="562">
        <f>Assums!H72</f>
        <v/>
      </c>
      <c r="S49" s="563">
        <f>Assums!I72</f>
        <v/>
      </c>
    </row>
    <row r="50" customFormat="1" s="159">
      <c r="A50" s="218" t="inlineStr">
        <is>
          <t>Insurances</t>
        </is>
      </c>
      <c r="B50" s="160" t="n"/>
      <c r="C50" s="601">
        <f>Assums!C75</f>
        <v/>
      </c>
      <c r="D50" s="601">
        <f>C50</f>
        <v/>
      </c>
      <c r="E50" s="601">
        <f>D50</f>
        <v/>
      </c>
      <c r="F50" s="601">
        <f>E50</f>
        <v/>
      </c>
      <c r="G50" s="601">
        <f>F50</f>
        <v/>
      </c>
      <c r="H50" s="601">
        <f>G50</f>
        <v/>
      </c>
      <c r="I50" s="601">
        <f>H50</f>
        <v/>
      </c>
      <c r="J50" s="601">
        <f>I50</f>
        <v/>
      </c>
      <c r="K50" s="601">
        <f>J50</f>
        <v/>
      </c>
      <c r="L50" s="601">
        <f>K50</f>
        <v/>
      </c>
      <c r="M50" s="601">
        <f>L50</f>
        <v/>
      </c>
      <c r="N50" s="601">
        <f>M50</f>
        <v/>
      </c>
      <c r="O50" s="602">
        <f>SUM(C50:N50)</f>
        <v/>
      </c>
      <c r="P50" s="562">
        <f>Assums!F75</f>
        <v/>
      </c>
      <c r="Q50" s="562">
        <f>Assums!G75</f>
        <v/>
      </c>
      <c r="R50" s="562">
        <f>Assums!H75</f>
        <v/>
      </c>
      <c r="S50" s="563">
        <f>Assums!I75</f>
        <v/>
      </c>
    </row>
    <row r="51" customFormat="1" s="159">
      <c r="A51" s="218" t="inlineStr">
        <is>
          <t>Bank Charges</t>
        </is>
      </c>
      <c r="B51" s="160" t="n"/>
      <c r="C51" s="601">
        <f>C35*Assums!$C$77</f>
        <v/>
      </c>
      <c r="D51" s="601">
        <f>D35*Assums!$C$77</f>
        <v/>
      </c>
      <c r="E51" s="601">
        <f>E35*Assums!$C$77</f>
        <v/>
      </c>
      <c r="F51" s="601">
        <f>F35*Assums!$C$77</f>
        <v/>
      </c>
      <c r="G51" s="601">
        <f>G35*Assums!$C$77</f>
        <v/>
      </c>
      <c r="H51" s="601">
        <f>H35*Assums!$C$77</f>
        <v/>
      </c>
      <c r="I51" s="601">
        <f>I35*Assums!$C$77</f>
        <v/>
      </c>
      <c r="J51" s="601">
        <f>J35*Assums!$C$77</f>
        <v/>
      </c>
      <c r="K51" s="601">
        <f>K35*Assums!$C$77</f>
        <v/>
      </c>
      <c r="L51" s="601">
        <f>L35*Assums!$C$77</f>
        <v/>
      </c>
      <c r="M51" s="601">
        <f>M35*Assums!$C$77</f>
        <v/>
      </c>
      <c r="N51" s="601">
        <f>N35*Assums!$C$77</f>
        <v/>
      </c>
      <c r="O51" s="602">
        <f>SUM(C51:N51)</f>
        <v/>
      </c>
      <c r="P51" s="562">
        <f>P35*Assums!$C$77</f>
        <v/>
      </c>
      <c r="Q51" s="562">
        <f>Q35*Assums!$C$77</f>
        <v/>
      </c>
      <c r="R51" s="562">
        <f>R35*Assums!$C$77</f>
        <v/>
      </c>
      <c r="S51" s="563">
        <f>S35*Assums!$C$77</f>
        <v/>
      </c>
    </row>
    <row r="52" customFormat="1" s="159">
      <c r="A52" s="218" t="n"/>
      <c r="B52" s="160" t="n"/>
      <c r="C52" s="601" t="n"/>
      <c r="D52" s="601" t="n"/>
      <c r="E52" s="601" t="n"/>
      <c r="F52" s="601" t="n"/>
      <c r="G52" s="601" t="n"/>
      <c r="H52" s="601" t="n"/>
      <c r="I52" s="601" t="n"/>
      <c r="J52" s="601" t="n"/>
      <c r="K52" s="601" t="n"/>
      <c r="L52" s="601" t="n"/>
      <c r="M52" s="601" t="n"/>
      <c r="N52" s="601" t="n"/>
      <c r="O52" s="602" t="n"/>
      <c r="P52" s="562">
        <f>SUM(O52*1.7)</f>
        <v/>
      </c>
      <c r="Q52" s="562">
        <f>SUM(P52*1.7)</f>
        <v/>
      </c>
      <c r="R52" s="562">
        <f>SUM(Q52*1.7)</f>
        <v/>
      </c>
      <c r="S52" s="563">
        <f>SUM(R52*1.7)</f>
        <v/>
      </c>
    </row>
    <row r="53" customFormat="1" s="159">
      <c r="A53" s="218" t="n"/>
      <c r="B53" s="160" t="n"/>
      <c r="C53" s="601" t="n"/>
      <c r="D53" s="601" t="n"/>
      <c r="E53" s="601" t="n"/>
      <c r="F53" s="601" t="n"/>
      <c r="G53" s="601" t="n"/>
      <c r="H53" s="601" t="n"/>
      <c r="I53" s="601" t="n"/>
      <c r="J53" s="601" t="n"/>
      <c r="K53" s="601" t="n"/>
      <c r="L53" s="601" t="n"/>
      <c r="M53" s="601" t="n"/>
      <c r="N53" s="601" t="n"/>
      <c r="O53" s="602" t="n"/>
      <c r="P53" s="562">
        <f>SUM(O53*1.7)</f>
        <v/>
      </c>
      <c r="Q53" s="562">
        <f>SUM(P53*1.7)</f>
        <v/>
      </c>
      <c r="R53" s="562">
        <f>SUM(Q53*1.7)</f>
        <v/>
      </c>
      <c r="S53" s="563">
        <f>SUM(R53*1.7)</f>
        <v/>
      </c>
    </row>
    <row r="54" ht="13.5" customFormat="1" customHeight="1" s="159" thickBot="1">
      <c r="A54" s="218" t="n"/>
      <c r="B54" s="224" t="n"/>
      <c r="C54" s="225" t="n"/>
      <c r="D54" s="225" t="n"/>
      <c r="E54" s="225" t="n"/>
      <c r="F54" s="225" t="n"/>
      <c r="G54" s="225" t="n"/>
      <c r="H54" s="225" t="n"/>
      <c r="I54" s="225" t="n"/>
      <c r="J54" s="225" t="n"/>
      <c r="K54" s="225" t="n"/>
      <c r="L54" s="225" t="n"/>
      <c r="M54" s="225" t="n"/>
      <c r="N54" s="226" t="n"/>
      <c r="O54" s="227">
        <f>SUM(C54:N54)</f>
        <v/>
      </c>
      <c r="P54" s="569">
        <f>SUM(O54*1.7)</f>
        <v/>
      </c>
      <c r="Q54" s="569">
        <f>SUM(P54*1.7)</f>
        <v/>
      </c>
      <c r="R54" s="569">
        <f>SUM(Q54*1.7)</f>
        <v/>
      </c>
      <c r="S54" s="567">
        <f>SUM(R54*1.7)</f>
        <v/>
      </c>
    </row>
    <row r="55" ht="13.5" customFormat="1" customHeight="1" s="159" thickBot="1">
      <c r="A55" s="144" t="inlineStr">
        <is>
          <t>Total costs</t>
        </is>
      </c>
      <c r="B55" s="145" t="n"/>
      <c r="C55" s="604">
        <f>SUM(C39:C54)</f>
        <v/>
      </c>
      <c r="D55" s="604">
        <f>SUM(D39:D54)</f>
        <v/>
      </c>
      <c r="E55" s="604">
        <f>SUM(E39:E54)</f>
        <v/>
      </c>
      <c r="F55" s="604">
        <f>SUM(F39:F54)</f>
        <v/>
      </c>
      <c r="G55" s="604">
        <f>SUM(G39:G54)</f>
        <v/>
      </c>
      <c r="H55" s="604">
        <f>SUM(H39:H54)</f>
        <v/>
      </c>
      <c r="I55" s="604">
        <f>SUM(I39:I54)</f>
        <v/>
      </c>
      <c r="J55" s="604">
        <f>SUM(J39:J54)</f>
        <v/>
      </c>
      <c r="K55" s="604">
        <f>SUM(K39:K54)</f>
        <v/>
      </c>
      <c r="L55" s="604">
        <f>SUM(L39:L54)</f>
        <v/>
      </c>
      <c r="M55" s="604">
        <f>SUM(M39:M54)</f>
        <v/>
      </c>
      <c r="N55" s="604">
        <f>SUM(N39:N54)</f>
        <v/>
      </c>
      <c r="O55" s="604">
        <f>SUM(O39:O54)</f>
        <v/>
      </c>
      <c r="P55" s="605">
        <f>SUM(P39:P54)</f>
        <v/>
      </c>
      <c r="Q55" s="606">
        <f>SUM(Q39:Q54)</f>
        <v/>
      </c>
      <c r="R55" s="606">
        <f>SUM(R39:R54)</f>
        <v/>
      </c>
      <c r="S55" s="607">
        <f>SUM(S39:S54)</f>
        <v/>
      </c>
    </row>
    <row r="56" customFormat="1" s="159">
      <c r="A56" s="230" t="n"/>
      <c r="B56" s="231" t="n"/>
      <c r="C56" s="232" t="n"/>
      <c r="D56" s="232" t="n"/>
      <c r="E56" s="232" t="n"/>
      <c r="F56" s="232" t="n"/>
      <c r="G56" s="232" t="n"/>
      <c r="H56" s="232" t="n"/>
      <c r="I56" s="232" t="n"/>
      <c r="J56" s="232" t="n"/>
      <c r="K56" s="232" t="n"/>
      <c r="L56" s="232" t="n"/>
      <c r="M56" s="232" t="n"/>
      <c r="N56" s="232" t="n"/>
      <c r="O56" s="232" t="n"/>
      <c r="P56" s="232" t="n"/>
      <c r="Q56" s="232" t="n"/>
      <c r="R56" s="232" t="n"/>
      <c r="S56" s="232" t="n"/>
    </row>
    <row r="57" ht="13.5" customFormat="1" customHeight="1" s="231" thickBot="1">
      <c r="A57" s="233" t="n"/>
    </row>
    <row r="58" ht="13.5" customFormat="1" customHeight="1" s="150" thickBot="1">
      <c r="A58" s="195" t="inlineStr">
        <is>
          <t>Other cash available to the business</t>
        </is>
      </c>
      <c r="B58" s="234" t="n"/>
      <c r="C58" s="538" t="inlineStr">
        <is>
          <t>M1</t>
        </is>
      </c>
      <c r="D58" s="539" t="inlineStr">
        <is>
          <t>M2</t>
        </is>
      </c>
      <c r="E58" s="539" t="inlineStr">
        <is>
          <t xml:space="preserve">M3 </t>
        </is>
      </c>
      <c r="F58" s="539" t="inlineStr">
        <is>
          <t>M4</t>
        </is>
      </c>
      <c r="G58" s="539" t="inlineStr">
        <is>
          <t>M5</t>
        </is>
      </c>
      <c r="H58" s="539" t="inlineStr">
        <is>
          <t>M6</t>
        </is>
      </c>
      <c r="I58" s="539" t="inlineStr">
        <is>
          <t>M7</t>
        </is>
      </c>
      <c r="J58" s="539" t="inlineStr">
        <is>
          <t>M8</t>
        </is>
      </c>
      <c r="K58" s="539" t="inlineStr">
        <is>
          <t>M9</t>
        </is>
      </c>
      <c r="L58" s="539" t="inlineStr">
        <is>
          <t>M10</t>
        </is>
      </c>
      <c r="M58" s="539" t="inlineStr">
        <is>
          <t>M11</t>
        </is>
      </c>
      <c r="N58" s="539" t="inlineStr">
        <is>
          <t>M12</t>
        </is>
      </c>
      <c r="O58" s="540" t="inlineStr">
        <is>
          <t>Yr 1</t>
        </is>
      </c>
      <c r="P58" s="538" t="inlineStr">
        <is>
          <t>Yr 2</t>
        </is>
      </c>
      <c r="Q58" s="539" t="inlineStr">
        <is>
          <t>Yr 3</t>
        </is>
      </c>
      <c r="R58" s="539" t="inlineStr">
        <is>
          <t>Yr 4</t>
        </is>
      </c>
      <c r="S58" s="541" t="inlineStr">
        <is>
          <t>Yr 5</t>
        </is>
      </c>
    </row>
    <row r="59" ht="15" customFormat="1" customHeight="1" s="159" thickBot="1">
      <c r="A59" s="235" t="inlineStr">
        <is>
          <t>Loan/ other cash injection</t>
        </is>
      </c>
      <c r="B59" s="236" t="n"/>
      <c r="C59" s="236" t="n"/>
      <c r="D59" s="237" t="n"/>
      <c r="E59" s="237" t="n"/>
      <c r="F59" s="237" t="n"/>
      <c r="G59" s="237" t="n"/>
      <c r="H59" s="237" t="n"/>
      <c r="I59" s="237" t="n"/>
      <c r="J59" s="237" t="n"/>
      <c r="K59" s="237" t="n"/>
      <c r="L59" s="237" t="n"/>
      <c r="M59" s="237" t="n"/>
      <c r="N59" s="237" t="n"/>
      <c r="O59" s="238">
        <f>SUM(C59:N59)</f>
        <v/>
      </c>
      <c r="P59" s="237" t="n"/>
      <c r="Q59" s="237" t="n"/>
      <c r="R59" s="237" t="n"/>
      <c r="S59" s="239" t="n"/>
    </row>
    <row r="60" ht="13.5" customFormat="1" customHeight="1" s="150">
      <c r="A60" s="159" t="n"/>
    </row>
    <row r="61" ht="13.5" customFormat="1" customHeight="1" s="150">
      <c r="A61" s="159" t="n"/>
    </row>
    <row r="62" customFormat="1" s="245">
      <c r="A62" s="240" t="n"/>
      <c r="B62" s="241" t="n"/>
      <c r="C62" s="241" t="n"/>
      <c r="D62" s="241" t="n"/>
      <c r="E62" s="241" t="n"/>
      <c r="F62" s="241" t="n"/>
      <c r="G62" s="242" t="n"/>
      <c r="H62" s="242" t="n"/>
      <c r="I62" s="242" t="n"/>
      <c r="J62" s="241" t="n"/>
      <c r="K62" s="241" t="n"/>
      <c r="L62" s="241" t="n"/>
      <c r="M62" s="242" t="n"/>
      <c r="N62" s="243" t="n"/>
      <c r="O62" s="608" t="n"/>
      <c r="P62" s="241" t="n"/>
      <c r="Q62" s="241" t="n"/>
      <c r="R62" s="241" t="n"/>
      <c r="S62" s="241" t="n"/>
    </row>
    <row r="63" ht="3.75" customFormat="1" customHeight="1" s="249" thickBot="1">
      <c r="A63" s="246" t="n"/>
      <c r="B63" s="246" t="n"/>
      <c r="C63" s="246" t="n"/>
      <c r="D63" s="246" t="n"/>
      <c r="E63" s="246" t="n"/>
      <c r="F63" s="246" t="n"/>
      <c r="G63" s="247" t="n"/>
      <c r="H63" s="246" t="n"/>
      <c r="I63" s="246" t="n"/>
      <c r="J63" s="246" t="n"/>
      <c r="K63" s="246" t="n"/>
      <c r="L63" s="246" t="n"/>
      <c r="M63" s="246" t="n"/>
      <c r="N63" s="246" t="n"/>
      <c r="O63" s="248" t="n"/>
      <c r="P63" s="248" t="n"/>
      <c r="Q63" s="248" t="n"/>
      <c r="R63" s="248" t="n"/>
      <c r="S63" s="248" t="n"/>
    </row>
    <row r="64" ht="13.5" customFormat="1" customHeight="1" s="249" thickBot="1">
      <c r="A64" s="250" t="n"/>
      <c r="B64" s="251" t="n"/>
      <c r="C64" s="538" t="inlineStr">
        <is>
          <t>M1</t>
        </is>
      </c>
      <c r="D64" s="539" t="inlineStr">
        <is>
          <t>M2</t>
        </is>
      </c>
      <c r="E64" s="539" t="inlineStr">
        <is>
          <t xml:space="preserve">M3 </t>
        </is>
      </c>
      <c r="F64" s="539" t="inlineStr">
        <is>
          <t>M4</t>
        </is>
      </c>
      <c r="G64" s="539" t="inlineStr">
        <is>
          <t>M5</t>
        </is>
      </c>
      <c r="H64" s="539" t="inlineStr">
        <is>
          <t>M6</t>
        </is>
      </c>
      <c r="I64" s="539" t="inlineStr">
        <is>
          <t>M7</t>
        </is>
      </c>
      <c r="J64" s="539" t="inlineStr">
        <is>
          <t>M8</t>
        </is>
      </c>
      <c r="K64" s="539" t="inlineStr">
        <is>
          <t>M9</t>
        </is>
      </c>
      <c r="L64" s="539" t="inlineStr">
        <is>
          <t>M10</t>
        </is>
      </c>
      <c r="M64" s="539" t="inlineStr">
        <is>
          <t>M11</t>
        </is>
      </c>
      <c r="N64" s="539" t="inlineStr">
        <is>
          <t>M12</t>
        </is>
      </c>
      <c r="O64" s="540" t="inlineStr">
        <is>
          <t>Yr 1</t>
        </is>
      </c>
      <c r="P64" s="538" t="inlineStr">
        <is>
          <t>Yr 2</t>
        </is>
      </c>
      <c r="Q64" s="539" t="inlineStr">
        <is>
          <t>Yr 3</t>
        </is>
      </c>
      <c r="R64" s="539" t="inlineStr">
        <is>
          <t>Yr 4</t>
        </is>
      </c>
      <c r="S64" s="541" t="inlineStr">
        <is>
          <t>Yr 5</t>
        </is>
      </c>
    </row>
    <row r="65" ht="28.5" customFormat="1" customHeight="1" s="249">
      <c r="A65" s="609" t="inlineStr">
        <is>
          <t>Cash on Hand (beginning of month)</t>
        </is>
      </c>
      <c r="B65" s="610" t="n">
        <v>25000000</v>
      </c>
      <c r="C65" s="611">
        <f>B76</f>
        <v/>
      </c>
      <c r="D65" s="610">
        <f>C76</f>
        <v/>
      </c>
      <c r="E65" s="610">
        <f>D76</f>
        <v/>
      </c>
      <c r="F65" s="610">
        <f>E76</f>
        <v/>
      </c>
      <c r="G65" s="610">
        <f>F76</f>
        <v/>
      </c>
      <c r="H65" s="610">
        <f>G76</f>
        <v/>
      </c>
      <c r="I65" s="610">
        <f>H76</f>
        <v/>
      </c>
      <c r="J65" s="610">
        <f>I76</f>
        <v/>
      </c>
      <c r="K65" s="610">
        <f>J76</f>
        <v/>
      </c>
      <c r="L65" s="610">
        <f>K76</f>
        <v/>
      </c>
      <c r="M65" s="610">
        <f>L76</f>
        <v/>
      </c>
      <c r="N65" s="610">
        <f>M76</f>
        <v/>
      </c>
      <c r="O65" s="612">
        <f>B65</f>
        <v/>
      </c>
      <c r="P65" s="610">
        <f>O76</f>
        <v/>
      </c>
      <c r="Q65" s="610">
        <f>P76</f>
        <v/>
      </c>
      <c r="R65" s="610">
        <f>Q76</f>
        <v/>
      </c>
      <c r="S65" s="610">
        <f>R76</f>
        <v/>
      </c>
      <c r="T65" s="256" t="n"/>
    </row>
    <row r="66" ht="18" customFormat="1" customHeight="1" s="249">
      <c r="A66" s="613" t="n"/>
      <c r="B66" s="614" t="n"/>
      <c r="C66" s="615" t="n"/>
      <c r="D66" s="616" t="n"/>
      <c r="E66" s="616" t="n"/>
      <c r="F66" s="616" t="n"/>
      <c r="G66" s="616" t="n"/>
      <c r="H66" s="616" t="n"/>
      <c r="I66" s="616" t="n"/>
      <c r="J66" s="616" t="n"/>
      <c r="K66" s="616" t="n"/>
      <c r="L66" s="616" t="n"/>
      <c r="M66" s="616" t="n"/>
      <c r="N66" s="614" t="n"/>
      <c r="O66" s="617" t="n"/>
      <c r="P66" s="618" t="n"/>
      <c r="Q66" s="618" t="n"/>
      <c r="R66" s="618" t="n"/>
      <c r="S66" s="619" t="n"/>
    </row>
    <row r="67" ht="18" customFormat="1" customHeight="1" s="249">
      <c r="A67" s="620" t="inlineStr">
        <is>
          <t>Cash Sales</t>
        </is>
      </c>
      <c r="B67" s="621" t="n"/>
      <c r="C67" s="622">
        <f>+Calc!C35</f>
        <v/>
      </c>
      <c r="D67" s="623">
        <f>+Calc!D35</f>
        <v/>
      </c>
      <c r="E67" s="623">
        <f>+Calc!E35</f>
        <v/>
      </c>
      <c r="F67" s="623">
        <f>+Calc!F35</f>
        <v/>
      </c>
      <c r="G67" s="623">
        <f>+Calc!G35</f>
        <v/>
      </c>
      <c r="H67" s="623">
        <f>+Calc!H35</f>
        <v/>
      </c>
      <c r="I67" s="623">
        <f>+Calc!I35</f>
        <v/>
      </c>
      <c r="J67" s="623">
        <f>+Calc!J35</f>
        <v/>
      </c>
      <c r="K67" s="623">
        <f>+Calc!K35</f>
        <v/>
      </c>
      <c r="L67" s="623">
        <f>+Calc!L35</f>
        <v/>
      </c>
      <c r="M67" s="623">
        <f>+Calc!M35</f>
        <v/>
      </c>
      <c r="N67" s="624">
        <f>+Calc!N35</f>
        <v/>
      </c>
      <c r="O67" s="625">
        <f>SUM(B67:N67)</f>
        <v/>
      </c>
      <c r="P67" s="624">
        <f>+Calc!P35</f>
        <v/>
      </c>
      <c r="Q67" s="623">
        <f>+Calc!Q35</f>
        <v/>
      </c>
      <c r="R67" s="623">
        <f>+Calc!R35</f>
        <v/>
      </c>
      <c r="S67" s="626">
        <f>+Calc!S35</f>
        <v/>
      </c>
    </row>
    <row r="68" ht="18" customFormat="1" customHeight="1" s="249">
      <c r="A68" s="627" t="inlineStr">
        <is>
          <t>Cash Expenses</t>
        </is>
      </c>
      <c r="B68" s="621">
        <f>-Assums!E19</f>
        <v/>
      </c>
      <c r="C68" s="622">
        <f>-Calc!C55</f>
        <v/>
      </c>
      <c r="D68" s="623">
        <f>-Calc!D55</f>
        <v/>
      </c>
      <c r="E68" s="623">
        <f>-Calc!E55</f>
        <v/>
      </c>
      <c r="F68" s="623">
        <f>-Calc!F55</f>
        <v/>
      </c>
      <c r="G68" s="623">
        <f>-Calc!G55</f>
        <v/>
      </c>
      <c r="H68" s="623">
        <f>-Calc!H55</f>
        <v/>
      </c>
      <c r="I68" s="623">
        <f>-Calc!I55</f>
        <v/>
      </c>
      <c r="J68" s="623">
        <f>-Calc!J55</f>
        <v/>
      </c>
      <c r="K68" s="623">
        <f>-Calc!K55</f>
        <v/>
      </c>
      <c r="L68" s="623">
        <f>-Calc!L55</f>
        <v/>
      </c>
      <c r="M68" s="623">
        <f>-Calc!M55</f>
        <v/>
      </c>
      <c r="N68" s="624">
        <f>-Calc!N55</f>
        <v/>
      </c>
      <c r="O68" s="625">
        <f>SUM(B68:N68)</f>
        <v/>
      </c>
      <c r="P68" s="624">
        <f>-Calc!P55</f>
        <v/>
      </c>
      <c r="Q68" s="623">
        <f>-Calc!Q55</f>
        <v/>
      </c>
      <c r="R68" s="623">
        <f>-Calc!R55</f>
        <v/>
      </c>
      <c r="S68" s="626">
        <f>-Calc!S55</f>
        <v/>
      </c>
    </row>
    <row r="69" ht="30" customFormat="1" customHeight="1" s="277" thickBot="1">
      <c r="A69" s="628" t="inlineStr">
        <is>
          <t>CASH FLOW FROM OPERATIONS</t>
        </is>
      </c>
      <c r="B69" s="629">
        <f>+B67+B68</f>
        <v/>
      </c>
      <c r="C69" s="630">
        <f>+C67+C68</f>
        <v/>
      </c>
      <c r="D69" s="629">
        <f>+D67+D68</f>
        <v/>
      </c>
      <c r="E69" s="629">
        <f>+E67+E68</f>
        <v/>
      </c>
      <c r="F69" s="629">
        <f>+F67+F68</f>
        <v/>
      </c>
      <c r="G69" s="629">
        <f>+G67+G68</f>
        <v/>
      </c>
      <c r="H69" s="629">
        <f>+H67+H68</f>
        <v/>
      </c>
      <c r="I69" s="629">
        <f>+I67+I68</f>
        <v/>
      </c>
      <c r="J69" s="629">
        <f>+J67+J68</f>
        <v/>
      </c>
      <c r="K69" s="629">
        <f>+K67+K68</f>
        <v/>
      </c>
      <c r="L69" s="629">
        <f>+L67+L68</f>
        <v/>
      </c>
      <c r="M69" s="629">
        <f>+M67+M68</f>
        <v/>
      </c>
      <c r="N69" s="629">
        <f>+N67+N68</f>
        <v/>
      </c>
      <c r="O69" s="631">
        <f>+O67+O68</f>
        <v/>
      </c>
      <c r="P69" s="629">
        <f>+P67+P68</f>
        <v/>
      </c>
      <c r="Q69" s="629">
        <f>+Q67+Q68</f>
        <v/>
      </c>
      <c r="R69" s="629">
        <f>+R67+R68</f>
        <v/>
      </c>
      <c r="S69" s="632">
        <f>+S67+S68</f>
        <v/>
      </c>
      <c r="T69" s="249" t="n"/>
      <c r="U69" s="249" t="n"/>
      <c r="V69" s="249" t="n"/>
      <c r="W69" s="249" t="n"/>
      <c r="X69" s="249" t="n"/>
      <c r="Y69" s="249" t="n"/>
      <c r="Z69" s="249" t="n"/>
      <c r="AA69" s="249" t="n"/>
      <c r="AB69" s="249" t="n"/>
      <c r="AC69" s="249" t="n"/>
      <c r="AD69" s="249" t="n"/>
      <c r="AE69" s="249" t="n"/>
      <c r="AF69" s="249" t="n"/>
      <c r="AG69" s="249" t="n"/>
      <c r="AH69" s="249" t="n"/>
      <c r="AI69" s="249" t="n"/>
      <c r="AJ69" s="249" t="n"/>
      <c r="AK69" s="249" t="n"/>
      <c r="AL69" s="249" t="n"/>
      <c r="AM69" s="249" t="n"/>
      <c r="AN69" s="249" t="n"/>
      <c r="AO69" s="249" t="n"/>
      <c r="AP69" s="249" t="n"/>
      <c r="AQ69" s="249" t="n"/>
      <c r="AR69" s="249" t="n"/>
      <c r="AS69" s="249" t="n"/>
      <c r="AT69" s="249" t="n"/>
      <c r="AU69" s="249" t="n"/>
      <c r="AV69" s="249" t="n"/>
      <c r="AW69" s="249" t="n"/>
      <c r="AX69" s="249" t="n"/>
      <c r="AY69" s="249" t="n"/>
      <c r="AZ69" s="249" t="n"/>
      <c r="BA69" s="249" t="n"/>
      <c r="BB69" s="249" t="n"/>
      <c r="BC69" s="249" t="n"/>
      <c r="BD69" s="249" t="n"/>
      <c r="BE69" s="249" t="n"/>
      <c r="BF69" s="249" t="n"/>
      <c r="BG69" s="249" t="n"/>
      <c r="BH69" s="249" t="n"/>
      <c r="BI69" s="249" t="n"/>
      <c r="BJ69" s="249" t="n"/>
      <c r="BK69" s="249" t="n"/>
      <c r="BL69" s="249" t="n"/>
      <c r="BM69" s="249" t="n"/>
      <c r="BN69" s="249" t="n"/>
      <c r="BO69" s="249" t="n"/>
      <c r="BP69" s="249" t="n"/>
      <c r="BQ69" s="249" t="n"/>
      <c r="BR69" s="249" t="n"/>
      <c r="BS69" s="249" t="n"/>
      <c r="BT69" s="249" t="n"/>
      <c r="BU69" s="249" t="n"/>
      <c r="BV69" s="249" t="n"/>
      <c r="BW69" s="249" t="n"/>
      <c r="BX69" s="249" t="n"/>
      <c r="BY69" s="249" t="n"/>
      <c r="BZ69" s="249" t="n"/>
      <c r="CA69" s="249" t="n"/>
      <c r="CB69" s="249" t="n"/>
      <c r="CC69" s="249" t="n"/>
      <c r="CD69" s="249" t="n"/>
      <c r="CE69" s="249" t="n"/>
      <c r="CF69" s="249" t="n"/>
      <c r="CG69" s="249" t="n"/>
      <c r="CH69" s="249" t="n"/>
      <c r="CI69" s="249" t="n"/>
      <c r="CJ69" s="249" t="n"/>
      <c r="CK69" s="249" t="n"/>
      <c r="CL69" s="249" t="n"/>
      <c r="CM69" s="249" t="n"/>
      <c r="CN69" s="249" t="n"/>
      <c r="CO69" s="249" t="n"/>
      <c r="CP69" s="249" t="n"/>
      <c r="CQ69" s="249" t="n"/>
      <c r="CR69" s="249" t="n"/>
      <c r="CS69" s="249" t="n"/>
      <c r="CT69" s="249" t="n"/>
      <c r="CU69" s="249" t="n"/>
      <c r="CV69" s="249" t="n"/>
      <c r="CW69" s="249" t="n"/>
      <c r="CX69" s="249" t="n"/>
      <c r="CY69" s="249" t="n"/>
      <c r="CZ69" s="249" t="n"/>
      <c r="DA69" s="249" t="n"/>
      <c r="DB69" s="249" t="n"/>
      <c r="DC69" s="249" t="n"/>
      <c r="DD69" s="249" t="n"/>
      <c r="DE69" s="249" t="n"/>
      <c r="DF69" s="249" t="n"/>
      <c r="DG69" s="249" t="n"/>
      <c r="DH69" s="249" t="n"/>
      <c r="DI69" s="249" t="n"/>
      <c r="DJ69" s="249" t="n"/>
      <c r="DK69" s="249" t="n"/>
      <c r="DL69" s="249" t="n"/>
      <c r="DM69" s="249" t="n"/>
      <c r="DN69" s="249" t="n"/>
      <c r="DO69" s="249" t="n"/>
      <c r="DP69" s="249" t="n"/>
      <c r="DQ69" s="249" t="n"/>
      <c r="DR69" s="249" t="n"/>
      <c r="DS69" s="249" t="n"/>
      <c r="DT69" s="249" t="n"/>
      <c r="DU69" s="249" t="n"/>
      <c r="DV69" s="249" t="n"/>
      <c r="DW69" s="249" t="n"/>
      <c r="DX69" s="249" t="n"/>
      <c r="DY69" s="249" t="n"/>
      <c r="DZ69" s="249" t="n"/>
      <c r="EA69" s="249" t="n"/>
      <c r="EB69" s="249" t="n"/>
      <c r="EC69" s="249" t="n"/>
      <c r="ED69" s="249" t="n"/>
      <c r="EE69" s="249" t="n"/>
      <c r="EF69" s="249" t="n"/>
      <c r="EG69" s="249" t="n"/>
      <c r="EH69" s="249" t="n"/>
      <c r="EI69" s="249" t="n"/>
      <c r="EJ69" s="249" t="n"/>
      <c r="EK69" s="249" t="n"/>
      <c r="EL69" s="249" t="n"/>
      <c r="EM69" s="249" t="n"/>
      <c r="EN69" s="249" t="n"/>
      <c r="EO69" s="249" t="n"/>
      <c r="EP69" s="249" t="n"/>
      <c r="EQ69" s="249" t="n"/>
      <c r="ER69" s="249" t="n"/>
      <c r="ES69" s="249" t="n"/>
      <c r="ET69" s="249" t="n"/>
      <c r="EU69" s="249" t="n"/>
      <c r="EV69" s="249" t="n"/>
      <c r="EW69" s="249" t="n"/>
      <c r="EX69" s="249" t="n"/>
      <c r="EY69" s="249" t="n"/>
      <c r="EZ69" s="249" t="n"/>
      <c r="FA69" s="249" t="n"/>
      <c r="FB69" s="249" t="n"/>
      <c r="FC69" s="249" t="n"/>
      <c r="FD69" s="249" t="n"/>
      <c r="FE69" s="249" t="n"/>
      <c r="FF69" s="249" t="n"/>
      <c r="FG69" s="249" t="n"/>
      <c r="FH69" s="249" t="n"/>
      <c r="FI69" s="249" t="n"/>
      <c r="FJ69" s="249" t="n"/>
      <c r="FK69" s="249" t="n"/>
      <c r="FL69" s="249" t="n"/>
      <c r="FM69" s="249" t="n"/>
      <c r="FN69" s="249" t="n"/>
      <c r="FO69" s="249" t="n"/>
      <c r="FP69" s="249" t="n"/>
      <c r="FQ69" s="249" t="n"/>
      <c r="FR69" s="249" t="n"/>
      <c r="FS69" s="249" t="n"/>
      <c r="FT69" s="249" t="n"/>
      <c r="FU69" s="249" t="n"/>
      <c r="FV69" s="249" t="n"/>
    </row>
    <row r="70" ht="13.5" customFormat="1" customHeight="1" s="249" thickBot="1">
      <c r="A70" s="633" t="n"/>
      <c r="B70" s="279" t="n"/>
      <c r="C70" s="634" t="n"/>
      <c r="D70" s="635" t="n"/>
      <c r="E70" s="635" t="n"/>
      <c r="F70" s="635" t="n"/>
      <c r="G70" s="635" t="n"/>
      <c r="H70" s="635" t="n"/>
      <c r="I70" s="635" t="n"/>
      <c r="J70" s="635" t="n"/>
      <c r="K70" s="635" t="n"/>
      <c r="L70" s="635" t="n"/>
      <c r="M70" s="635" t="n"/>
      <c r="N70" s="635" t="n"/>
      <c r="O70" s="635" t="n"/>
      <c r="P70" s="635" t="n"/>
      <c r="Q70" s="635" t="n"/>
      <c r="R70" s="635" t="n"/>
      <c r="S70" s="636" t="n"/>
    </row>
    <row r="71" ht="18" customFormat="1" customHeight="1" s="249">
      <c r="A71" s="637" t="inlineStr">
        <is>
          <t>Loan and Interest Payments</t>
        </is>
      </c>
      <c r="B71" s="610" t="n"/>
      <c r="C71" s="638" t="n">
        <v>0</v>
      </c>
      <c r="D71" s="610" t="n">
        <v>0</v>
      </c>
      <c r="E71" s="610" t="n">
        <v>0</v>
      </c>
      <c r="F71" s="610" t="n">
        <v>0</v>
      </c>
      <c r="G71" s="610" t="n">
        <v>0</v>
      </c>
      <c r="H71" s="610" t="n">
        <v>0</v>
      </c>
      <c r="I71" s="610" t="n">
        <v>0</v>
      </c>
      <c r="J71" s="610" t="n">
        <v>0</v>
      </c>
      <c r="K71" s="610" t="n">
        <v>0</v>
      </c>
      <c r="L71" s="610" t="n">
        <v>0</v>
      </c>
      <c r="M71" s="610" t="n">
        <v>0</v>
      </c>
      <c r="N71" s="610" t="n">
        <v>0</v>
      </c>
      <c r="O71" s="639">
        <f>SUM(B71:N71)</f>
        <v/>
      </c>
      <c r="P71" s="640" t="n"/>
      <c r="Q71" s="641" t="n"/>
      <c r="R71" s="641" t="n"/>
      <c r="S71" s="642" t="n"/>
    </row>
    <row r="72" ht="18" customFormat="1" customHeight="1" s="249">
      <c r="A72" s="643" t="inlineStr">
        <is>
          <t>Loan/ other cash inj.</t>
        </is>
      </c>
      <c r="B72" s="644" t="n"/>
      <c r="C72" s="645" t="n"/>
      <c r="D72" s="646" t="n"/>
      <c r="E72" s="623" t="n"/>
      <c r="F72" s="623" t="n"/>
      <c r="G72" s="623" t="n"/>
      <c r="H72" s="623" t="n"/>
      <c r="I72" s="623" t="n"/>
      <c r="J72" s="623" t="n"/>
      <c r="K72" s="623" t="n"/>
      <c r="L72" s="623" t="n"/>
      <c r="M72" s="623" t="n"/>
      <c r="N72" s="623" t="n"/>
      <c r="O72" s="625">
        <f>SUM(B72:N72)</f>
        <v/>
      </c>
      <c r="P72" s="624" t="n"/>
      <c r="Q72" s="623" t="n"/>
      <c r="R72" s="623" t="n"/>
      <c r="S72" s="626" t="n"/>
    </row>
    <row r="73" ht="18" customFormat="1" customHeight="1" s="301" thickBot="1">
      <c r="A73" s="647" t="inlineStr">
        <is>
          <t>CASH FROM Non-operating activities</t>
        </is>
      </c>
      <c r="B73" s="648">
        <f>SUM(B71:B72)</f>
        <v/>
      </c>
      <c r="C73" s="649">
        <f>SUM(C71:C72)</f>
        <v/>
      </c>
      <c r="D73" s="648">
        <f>SUM(D71:D72)</f>
        <v/>
      </c>
      <c r="E73" s="648">
        <f>SUM(E71:E72)</f>
        <v/>
      </c>
      <c r="F73" s="648">
        <f>SUM(F71:F72)</f>
        <v/>
      </c>
      <c r="G73" s="648">
        <f>SUM(G71:G72)</f>
        <v/>
      </c>
      <c r="H73" s="648">
        <f>SUM(H71:H72)</f>
        <v/>
      </c>
      <c r="I73" s="648">
        <f>SUM(I71:I72)</f>
        <v/>
      </c>
      <c r="J73" s="648">
        <f>SUM(J71:J72)</f>
        <v/>
      </c>
      <c r="K73" s="648">
        <f>SUM(K71:K72)</f>
        <v/>
      </c>
      <c r="L73" s="648">
        <f>SUM(L71:L72)</f>
        <v/>
      </c>
      <c r="M73" s="648">
        <f>SUM(M71:M72)</f>
        <v/>
      </c>
      <c r="N73" s="650">
        <f>SUM(N71:N72)</f>
        <v/>
      </c>
      <c r="O73" s="651">
        <f>SUM(C73:N73)</f>
        <v/>
      </c>
      <c r="P73" s="652">
        <f>SUM(P71:P72)</f>
        <v/>
      </c>
      <c r="Q73" s="648">
        <f>SUM(Q71:Q72)</f>
        <v/>
      </c>
      <c r="R73" s="648">
        <f>SUM(R71:R72)</f>
        <v/>
      </c>
      <c r="S73" s="653">
        <f>SUM(S71:S72)</f>
        <v/>
      </c>
      <c r="T73" s="300" t="n"/>
      <c r="U73" s="300" t="n"/>
      <c r="V73" s="300" t="n"/>
      <c r="W73" s="300" t="n"/>
      <c r="X73" s="300" t="n"/>
      <c r="Y73" s="300" t="n"/>
      <c r="Z73" s="300" t="n"/>
      <c r="AA73" s="300" t="n"/>
      <c r="AB73" s="300" t="n"/>
      <c r="AC73" s="300" t="n"/>
      <c r="AD73" s="300" t="n"/>
      <c r="AE73" s="300" t="n"/>
      <c r="AF73" s="300" t="n"/>
      <c r="AG73" s="300" t="n"/>
      <c r="AH73" s="300" t="n"/>
      <c r="AI73" s="300" t="n"/>
      <c r="AJ73" s="300" t="n"/>
      <c r="AK73" s="300" t="n"/>
      <c r="AL73" s="300" t="n"/>
      <c r="AM73" s="300" t="n"/>
      <c r="AN73" s="300" t="n"/>
      <c r="AO73" s="300" t="n"/>
      <c r="AP73" s="300" t="n"/>
      <c r="AQ73" s="300" t="n"/>
      <c r="AR73" s="300" t="n"/>
      <c r="AS73" s="300" t="n"/>
      <c r="AT73" s="300" t="n"/>
      <c r="AU73" s="300" t="n"/>
      <c r="AV73" s="300" t="n"/>
      <c r="AW73" s="300" t="n"/>
      <c r="AX73" s="300" t="n"/>
      <c r="AY73" s="300" t="n"/>
      <c r="AZ73" s="300" t="n"/>
      <c r="BA73" s="300" t="n"/>
      <c r="BB73" s="300" t="n"/>
      <c r="BC73" s="300" t="n"/>
      <c r="BD73" s="300" t="n"/>
      <c r="BE73" s="300" t="n"/>
      <c r="BF73" s="300" t="n"/>
      <c r="BG73" s="300" t="n"/>
      <c r="BH73" s="300" t="n"/>
      <c r="BI73" s="300" t="n"/>
      <c r="BJ73" s="300" t="n"/>
      <c r="BK73" s="300" t="n"/>
      <c r="BL73" s="300" t="n"/>
      <c r="BM73" s="300" t="n"/>
      <c r="BN73" s="300" t="n"/>
      <c r="BO73" s="300" t="n"/>
      <c r="BP73" s="300" t="n"/>
      <c r="BQ73" s="300" t="n"/>
      <c r="BR73" s="300" t="n"/>
      <c r="BS73" s="300" t="n"/>
      <c r="BT73" s="300" t="n"/>
      <c r="BU73" s="300" t="n"/>
      <c r="BV73" s="300" t="n"/>
      <c r="BW73" s="300" t="n"/>
      <c r="BX73" s="300" t="n"/>
      <c r="BY73" s="300" t="n"/>
      <c r="BZ73" s="300" t="n"/>
      <c r="CA73" s="300" t="n"/>
      <c r="CB73" s="300" t="n"/>
      <c r="CC73" s="300" t="n"/>
      <c r="CD73" s="300" t="n"/>
      <c r="CE73" s="300" t="n"/>
      <c r="CF73" s="300" t="n"/>
      <c r="CG73" s="300" t="n"/>
      <c r="CH73" s="300" t="n"/>
      <c r="CI73" s="300" t="n"/>
      <c r="CJ73" s="300" t="n"/>
      <c r="CK73" s="300" t="n"/>
      <c r="CL73" s="300" t="n"/>
      <c r="CM73" s="300" t="n"/>
      <c r="CN73" s="300" t="n"/>
      <c r="CO73" s="300" t="n"/>
      <c r="CP73" s="300" t="n"/>
      <c r="CQ73" s="300" t="n"/>
      <c r="CR73" s="300" t="n"/>
      <c r="CS73" s="300" t="n"/>
      <c r="CT73" s="300" t="n"/>
      <c r="CU73" s="300" t="n"/>
      <c r="CV73" s="300" t="n"/>
      <c r="CW73" s="300" t="n"/>
      <c r="CX73" s="300" t="n"/>
      <c r="CY73" s="300" t="n"/>
      <c r="CZ73" s="300" t="n"/>
      <c r="DA73" s="300" t="n"/>
      <c r="DB73" s="300" t="n"/>
      <c r="DC73" s="300" t="n"/>
      <c r="DD73" s="300" t="n"/>
      <c r="DE73" s="300" t="n"/>
      <c r="DF73" s="300" t="n"/>
      <c r="DG73" s="300" t="n"/>
      <c r="DH73" s="300" t="n"/>
      <c r="DI73" s="300" t="n"/>
      <c r="DJ73" s="300" t="n"/>
      <c r="DK73" s="300" t="n"/>
      <c r="DL73" s="300" t="n"/>
      <c r="DM73" s="300" t="n"/>
      <c r="DN73" s="300" t="n"/>
      <c r="DO73" s="300" t="n"/>
      <c r="DP73" s="300" t="n"/>
      <c r="DQ73" s="300" t="n"/>
      <c r="DR73" s="300" t="n"/>
      <c r="DS73" s="300" t="n"/>
      <c r="DT73" s="300" t="n"/>
      <c r="DU73" s="300" t="n"/>
      <c r="DV73" s="300" t="n"/>
      <c r="DW73" s="300" t="n"/>
      <c r="DX73" s="300" t="n"/>
      <c r="DY73" s="300" t="n"/>
      <c r="DZ73" s="300" t="n"/>
      <c r="EA73" s="300" t="n"/>
      <c r="EB73" s="300" t="n"/>
      <c r="EC73" s="300" t="n"/>
      <c r="ED73" s="300" t="n"/>
      <c r="EE73" s="300" t="n"/>
      <c r="EF73" s="300" t="n"/>
      <c r="EG73" s="300" t="n"/>
      <c r="EH73" s="300" t="n"/>
      <c r="EI73" s="300" t="n"/>
      <c r="EJ73" s="300" t="n"/>
      <c r="EK73" s="300" t="n"/>
      <c r="EL73" s="300" t="n"/>
      <c r="EM73" s="300" t="n"/>
      <c r="EN73" s="300" t="n"/>
      <c r="EO73" s="300" t="n"/>
      <c r="EP73" s="300" t="n"/>
      <c r="EQ73" s="300" t="n"/>
      <c r="ER73" s="300" t="n"/>
      <c r="ES73" s="300" t="n"/>
      <c r="ET73" s="300" t="n"/>
      <c r="EU73" s="300" t="n"/>
      <c r="EV73" s="300" t="n"/>
      <c r="EW73" s="300" t="n"/>
      <c r="EX73" s="300" t="n"/>
      <c r="EY73" s="300" t="n"/>
      <c r="EZ73" s="300" t="n"/>
      <c r="FA73" s="300" t="n"/>
      <c r="FB73" s="300" t="n"/>
      <c r="FC73" s="300" t="n"/>
      <c r="FD73" s="300" t="n"/>
      <c r="FE73" s="300" t="n"/>
      <c r="FF73" s="300" t="n"/>
      <c r="FG73" s="300" t="n"/>
      <c r="FH73" s="300" t="n"/>
      <c r="FI73" s="300" t="n"/>
      <c r="FJ73" s="300" t="n"/>
      <c r="FK73" s="300" t="n"/>
      <c r="FL73" s="300" t="n"/>
      <c r="FM73" s="300" t="n"/>
      <c r="FN73" s="300" t="n"/>
      <c r="FO73" s="300" t="n"/>
      <c r="FP73" s="300" t="n"/>
      <c r="FQ73" s="300" t="n"/>
      <c r="FR73" s="300" t="n"/>
      <c r="FS73" s="300" t="n"/>
      <c r="FT73" s="300" t="n"/>
      <c r="FU73" s="300" t="n"/>
      <c r="FV73" s="300" t="n"/>
    </row>
    <row r="74" ht="13.5" customFormat="1" customHeight="1" s="300" thickBot="1">
      <c r="A74" s="654" t="n"/>
      <c r="B74" s="635" t="n"/>
      <c r="C74" s="635" t="n"/>
      <c r="D74" s="635" t="n"/>
      <c r="E74" s="635" t="n"/>
      <c r="F74" s="635" t="n"/>
      <c r="G74" s="635" t="n"/>
      <c r="H74" s="635" t="n"/>
      <c r="I74" s="635" t="n"/>
      <c r="J74" s="635" t="n"/>
      <c r="K74" s="635" t="n"/>
      <c r="L74" s="635" t="n"/>
      <c r="M74" s="635" t="n"/>
      <c r="N74" s="635" t="n"/>
      <c r="O74" s="635" t="n"/>
      <c r="P74" s="635" t="n"/>
      <c r="Q74" s="635" t="n"/>
      <c r="R74" s="635" t="n"/>
      <c r="S74" s="636" t="n"/>
    </row>
    <row r="75" ht="30.75" customFormat="1" customHeight="1" s="277" thickBot="1">
      <c r="A75" s="655" t="inlineStr">
        <is>
          <t>TOTAL CASH FLOW FOR MONTH</t>
        </is>
      </c>
      <c r="B75" s="656">
        <f>+B73+B69</f>
        <v/>
      </c>
      <c r="C75" s="657">
        <f>+C73+C69</f>
        <v/>
      </c>
      <c r="D75" s="658">
        <f>+D73+D69</f>
        <v/>
      </c>
      <c r="E75" s="658">
        <f>+E73+E69</f>
        <v/>
      </c>
      <c r="F75" s="658">
        <f>+F73+F69</f>
        <v/>
      </c>
      <c r="G75" s="658">
        <f>+G73+G69</f>
        <v/>
      </c>
      <c r="H75" s="658">
        <f>+H73+H69</f>
        <v/>
      </c>
      <c r="I75" s="658">
        <f>+I73+I69</f>
        <v/>
      </c>
      <c r="J75" s="658">
        <f>+J73+J69</f>
        <v/>
      </c>
      <c r="K75" s="658">
        <f>+K73+K69</f>
        <v/>
      </c>
      <c r="L75" s="658">
        <f>+L73+L69</f>
        <v/>
      </c>
      <c r="M75" s="658">
        <f>+M73+M69</f>
        <v/>
      </c>
      <c r="N75" s="656">
        <f>+N73+N69</f>
        <v/>
      </c>
      <c r="O75" s="659">
        <f>SUM(C75:N75)</f>
        <v/>
      </c>
      <c r="P75" s="660">
        <f>+P73+P69</f>
        <v/>
      </c>
      <c r="Q75" s="658">
        <f>+Q73+Q69</f>
        <v/>
      </c>
      <c r="R75" s="658">
        <f>+R73+R69</f>
        <v/>
      </c>
      <c r="S75" s="661">
        <f>+S73+S69</f>
        <v/>
      </c>
      <c r="T75" s="249" t="n"/>
      <c r="U75" s="249" t="n"/>
      <c r="V75" s="249" t="n"/>
      <c r="W75" s="249" t="n"/>
      <c r="X75" s="249" t="n"/>
      <c r="Y75" s="249" t="n"/>
      <c r="Z75" s="249" t="n"/>
      <c r="AA75" s="249" t="n"/>
      <c r="AB75" s="249" t="n"/>
      <c r="AC75" s="249" t="n"/>
      <c r="AD75" s="249" t="n"/>
      <c r="AE75" s="249" t="n"/>
      <c r="AF75" s="249" t="n"/>
      <c r="AG75" s="249" t="n"/>
      <c r="AH75" s="249" t="n"/>
      <c r="AI75" s="249" t="n"/>
      <c r="AJ75" s="249" t="n"/>
      <c r="AK75" s="249" t="n"/>
      <c r="AL75" s="249" t="n"/>
      <c r="AM75" s="249" t="n"/>
      <c r="AN75" s="249" t="n"/>
      <c r="AO75" s="249" t="n"/>
      <c r="AP75" s="249" t="n"/>
      <c r="AQ75" s="249" t="n"/>
      <c r="AR75" s="249" t="n"/>
      <c r="AS75" s="249" t="n"/>
      <c r="AT75" s="249" t="n"/>
      <c r="AU75" s="249" t="n"/>
      <c r="AV75" s="249" t="n"/>
      <c r="AW75" s="249" t="n"/>
      <c r="AX75" s="249" t="n"/>
      <c r="AY75" s="249" t="n"/>
      <c r="AZ75" s="249" t="n"/>
      <c r="BA75" s="249" t="n"/>
      <c r="BB75" s="249" t="n"/>
      <c r="BC75" s="249" t="n"/>
      <c r="BD75" s="249" t="n"/>
      <c r="BE75" s="249" t="n"/>
      <c r="BF75" s="249" t="n"/>
      <c r="BG75" s="249" t="n"/>
      <c r="BH75" s="249" t="n"/>
      <c r="BI75" s="249" t="n"/>
      <c r="BJ75" s="249" t="n"/>
      <c r="BK75" s="249" t="n"/>
      <c r="BL75" s="249" t="n"/>
      <c r="BM75" s="249" t="n"/>
      <c r="BN75" s="249" t="n"/>
      <c r="BO75" s="249" t="n"/>
      <c r="BP75" s="249" t="n"/>
      <c r="BQ75" s="249" t="n"/>
      <c r="BR75" s="249" t="n"/>
      <c r="BS75" s="249" t="n"/>
      <c r="BT75" s="249" t="n"/>
      <c r="BU75" s="249" t="n"/>
      <c r="BV75" s="249" t="n"/>
      <c r="BW75" s="249" t="n"/>
      <c r="BX75" s="249" t="n"/>
      <c r="BY75" s="249" t="n"/>
      <c r="BZ75" s="249" t="n"/>
      <c r="CA75" s="249" t="n"/>
      <c r="CB75" s="249" t="n"/>
      <c r="CC75" s="249" t="n"/>
      <c r="CD75" s="249" t="n"/>
      <c r="CE75" s="249" t="n"/>
      <c r="CF75" s="249" t="n"/>
      <c r="CG75" s="249" t="n"/>
      <c r="CH75" s="249" t="n"/>
      <c r="CI75" s="249" t="n"/>
      <c r="CJ75" s="249" t="n"/>
      <c r="CK75" s="249" t="n"/>
      <c r="CL75" s="249" t="n"/>
      <c r="CM75" s="249" t="n"/>
      <c r="CN75" s="249" t="n"/>
      <c r="CO75" s="249" t="n"/>
      <c r="CP75" s="249" t="n"/>
      <c r="CQ75" s="249" t="n"/>
      <c r="CR75" s="249" t="n"/>
      <c r="CS75" s="249" t="n"/>
      <c r="CT75" s="249" t="n"/>
      <c r="CU75" s="249" t="n"/>
      <c r="CV75" s="249" t="n"/>
      <c r="CW75" s="249" t="n"/>
      <c r="CX75" s="249" t="n"/>
      <c r="CY75" s="249" t="n"/>
      <c r="CZ75" s="249" t="n"/>
      <c r="DA75" s="249" t="n"/>
      <c r="DB75" s="249" t="n"/>
      <c r="DC75" s="249" t="n"/>
      <c r="DD75" s="249" t="n"/>
      <c r="DE75" s="249" t="n"/>
      <c r="DF75" s="249" t="n"/>
      <c r="DG75" s="249" t="n"/>
      <c r="DH75" s="249" t="n"/>
      <c r="DI75" s="249" t="n"/>
      <c r="DJ75" s="249" t="n"/>
      <c r="DK75" s="249" t="n"/>
      <c r="DL75" s="249" t="n"/>
      <c r="DM75" s="249" t="n"/>
      <c r="DN75" s="249" t="n"/>
      <c r="DO75" s="249" t="n"/>
      <c r="DP75" s="249" t="n"/>
      <c r="DQ75" s="249" t="n"/>
      <c r="DR75" s="249" t="n"/>
      <c r="DS75" s="249" t="n"/>
      <c r="DT75" s="249" t="n"/>
      <c r="DU75" s="249" t="n"/>
      <c r="DV75" s="249" t="n"/>
      <c r="DW75" s="249" t="n"/>
      <c r="DX75" s="249" t="n"/>
      <c r="DY75" s="249" t="n"/>
      <c r="DZ75" s="249" t="n"/>
      <c r="EA75" s="249" t="n"/>
      <c r="EB75" s="249" t="n"/>
      <c r="EC75" s="249" t="n"/>
      <c r="ED75" s="249" t="n"/>
      <c r="EE75" s="249" t="n"/>
      <c r="EF75" s="249" t="n"/>
      <c r="EG75" s="249" t="n"/>
      <c r="EH75" s="249" t="n"/>
      <c r="EI75" s="249" t="n"/>
      <c r="EJ75" s="249" t="n"/>
      <c r="EK75" s="249" t="n"/>
      <c r="EL75" s="249" t="n"/>
      <c r="EM75" s="249" t="n"/>
      <c r="EN75" s="249" t="n"/>
      <c r="EO75" s="249" t="n"/>
      <c r="EP75" s="249" t="n"/>
      <c r="EQ75" s="249" t="n"/>
      <c r="ER75" s="249" t="n"/>
      <c r="ES75" s="249" t="n"/>
      <c r="ET75" s="249" t="n"/>
      <c r="EU75" s="249" t="n"/>
      <c r="EV75" s="249" t="n"/>
      <c r="EW75" s="249" t="n"/>
      <c r="EX75" s="249" t="n"/>
      <c r="EY75" s="249" t="n"/>
      <c r="EZ75" s="249" t="n"/>
      <c r="FA75" s="249" t="n"/>
      <c r="FB75" s="249" t="n"/>
      <c r="FC75" s="249" t="n"/>
      <c r="FD75" s="249" t="n"/>
      <c r="FE75" s="249" t="n"/>
      <c r="FF75" s="249" t="n"/>
      <c r="FG75" s="249" t="n"/>
      <c r="FH75" s="249" t="n"/>
      <c r="FI75" s="249" t="n"/>
      <c r="FJ75" s="249" t="n"/>
      <c r="FK75" s="249" t="n"/>
      <c r="FL75" s="249" t="n"/>
      <c r="FM75" s="249" t="n"/>
      <c r="FN75" s="249" t="n"/>
      <c r="FO75" s="249" t="n"/>
      <c r="FP75" s="249" t="n"/>
      <c r="FQ75" s="249" t="n"/>
      <c r="FR75" s="249" t="n"/>
      <c r="FS75" s="249" t="n"/>
      <c r="FT75" s="249" t="n"/>
      <c r="FU75" s="249" t="n"/>
      <c r="FV75" s="249" t="n"/>
    </row>
    <row r="76" ht="18" customFormat="1" customHeight="1" s="317" thickBot="1">
      <c r="A76" s="662" t="inlineStr">
        <is>
          <t>Cash Position (end of month)</t>
        </is>
      </c>
      <c r="B76" s="663">
        <f>+B65+B75</f>
        <v/>
      </c>
      <c r="C76" s="663">
        <f>+C65+C75</f>
        <v/>
      </c>
      <c r="D76" s="664">
        <f>+D65+D75</f>
        <v/>
      </c>
      <c r="E76" s="664">
        <f>+E65+E75</f>
        <v/>
      </c>
      <c r="F76" s="664">
        <f>+F65+F75</f>
        <v/>
      </c>
      <c r="G76" s="664">
        <f>+G65+G75</f>
        <v/>
      </c>
      <c r="H76" s="664">
        <f>+H65+H75</f>
        <v/>
      </c>
      <c r="I76" s="664">
        <f>+I65+I75</f>
        <v/>
      </c>
      <c r="J76" s="664">
        <f>+J65+J75</f>
        <v/>
      </c>
      <c r="K76" s="664">
        <f>+K65+K75</f>
        <v/>
      </c>
      <c r="L76" s="664">
        <f>+L65+L75</f>
        <v/>
      </c>
      <c r="M76" s="664">
        <f>+M65+M75</f>
        <v/>
      </c>
      <c r="N76" s="665">
        <f>+N65+N75</f>
        <v/>
      </c>
      <c r="O76" s="666">
        <f>+N76</f>
        <v/>
      </c>
      <c r="P76" s="667">
        <f>+P65+P75</f>
        <v/>
      </c>
      <c r="Q76" s="664">
        <f>+Q65+Q75</f>
        <v/>
      </c>
      <c r="R76" s="664">
        <f>+R65+R75</f>
        <v/>
      </c>
      <c r="S76" s="668">
        <f>+S65+S75</f>
        <v/>
      </c>
      <c r="T76" s="249" t="n"/>
      <c r="U76" s="249" t="n"/>
      <c r="V76" s="249" t="n"/>
      <c r="W76" s="249" t="n"/>
      <c r="X76" s="249" t="n"/>
      <c r="Y76" s="249" t="n"/>
      <c r="Z76" s="249" t="n"/>
      <c r="AA76" s="249" t="n"/>
      <c r="AB76" s="249" t="n"/>
      <c r="AC76" s="249" t="n"/>
      <c r="AD76" s="249" t="n"/>
      <c r="AE76" s="249" t="n"/>
      <c r="AF76" s="249" t="n"/>
      <c r="AG76" s="249" t="n"/>
      <c r="AH76" s="249" t="n"/>
      <c r="AI76" s="249" t="n"/>
      <c r="AJ76" s="249" t="n"/>
      <c r="AK76" s="249" t="n"/>
      <c r="AL76" s="249" t="n"/>
      <c r="AM76" s="249" t="n"/>
      <c r="AN76" s="249" t="n"/>
      <c r="AO76" s="249" t="n"/>
      <c r="AP76" s="249" t="n"/>
      <c r="AQ76" s="249" t="n"/>
      <c r="AR76" s="249" t="n"/>
      <c r="AS76" s="249" t="n"/>
      <c r="AT76" s="249" t="n"/>
      <c r="AU76" s="249" t="n"/>
      <c r="AV76" s="249" t="n"/>
      <c r="AW76" s="249" t="n"/>
      <c r="AX76" s="249" t="n"/>
      <c r="AY76" s="249" t="n"/>
      <c r="AZ76" s="249" t="n"/>
      <c r="BA76" s="249" t="n"/>
      <c r="BB76" s="249" t="n"/>
      <c r="BC76" s="249" t="n"/>
      <c r="BD76" s="249" t="n"/>
      <c r="BE76" s="249" t="n"/>
      <c r="BF76" s="249" t="n"/>
      <c r="BG76" s="249" t="n"/>
      <c r="BH76" s="249" t="n"/>
      <c r="BI76" s="249" t="n"/>
      <c r="BJ76" s="249" t="n"/>
      <c r="BK76" s="249" t="n"/>
      <c r="BL76" s="249" t="n"/>
      <c r="BM76" s="249" t="n"/>
      <c r="BN76" s="249" t="n"/>
      <c r="BO76" s="249" t="n"/>
      <c r="BP76" s="249" t="n"/>
      <c r="BQ76" s="249" t="n"/>
      <c r="BR76" s="249" t="n"/>
      <c r="BS76" s="249" t="n"/>
      <c r="BT76" s="249" t="n"/>
      <c r="BU76" s="249" t="n"/>
      <c r="BV76" s="249" t="n"/>
      <c r="BW76" s="249" t="n"/>
      <c r="BX76" s="249" t="n"/>
      <c r="BY76" s="249" t="n"/>
      <c r="BZ76" s="249" t="n"/>
      <c r="CA76" s="249" t="n"/>
      <c r="CB76" s="249" t="n"/>
      <c r="CC76" s="249" t="n"/>
      <c r="CD76" s="249" t="n"/>
      <c r="CE76" s="249" t="n"/>
      <c r="CF76" s="249" t="n"/>
      <c r="CG76" s="249" t="n"/>
      <c r="CH76" s="249" t="n"/>
      <c r="CI76" s="249" t="n"/>
      <c r="CJ76" s="249" t="n"/>
      <c r="CK76" s="249" t="n"/>
      <c r="CL76" s="249" t="n"/>
      <c r="CM76" s="249" t="n"/>
      <c r="CN76" s="249" t="n"/>
      <c r="CO76" s="249" t="n"/>
      <c r="CP76" s="249" t="n"/>
      <c r="CQ76" s="249" t="n"/>
      <c r="CR76" s="249" t="n"/>
      <c r="CS76" s="249" t="n"/>
      <c r="CT76" s="249" t="n"/>
      <c r="CU76" s="249" t="n"/>
      <c r="CV76" s="249" t="n"/>
      <c r="CW76" s="249" t="n"/>
      <c r="CX76" s="249" t="n"/>
      <c r="CY76" s="249" t="n"/>
      <c r="CZ76" s="249" t="n"/>
      <c r="DA76" s="249" t="n"/>
      <c r="DB76" s="249" t="n"/>
      <c r="DC76" s="249" t="n"/>
      <c r="DD76" s="249" t="n"/>
    </row>
    <row r="82" ht="13.5" customHeight="1" thickBot="1"/>
    <row r="83" ht="13.5" customHeight="1" thickBot="1">
      <c r="B83" s="669">
        <f>SUM(B5/100*25)</f>
        <v/>
      </c>
      <c r="C83" s="670">
        <f>SUM(B5-B83)</f>
        <v/>
      </c>
      <c r="D83" s="671" t="n">
        <v>10</v>
      </c>
      <c r="F83" s="321" t="n"/>
    </row>
    <row r="84" ht="13.5" customHeight="1" thickBot="1">
      <c r="B84" s="669">
        <f>SUM(B6/100*25)</f>
        <v/>
      </c>
      <c r="C84" s="672">
        <f>SUM(B6-B84)</f>
        <v/>
      </c>
      <c r="D84" s="673" t="n">
        <v>50</v>
      </c>
      <c r="F84" s="324" t="n"/>
    </row>
    <row r="85" ht="13.5" customHeight="1" thickBot="1">
      <c r="B85" s="669">
        <f>SUM(B7/100*25)</f>
        <v/>
      </c>
      <c r="C85" s="674">
        <f>SUM(B7-B85)</f>
        <v/>
      </c>
      <c r="D85" s="675" t="n">
        <v>500</v>
      </c>
      <c r="F85" s="327" t="n"/>
    </row>
  </sheetData>
  <pageMargins left="0.7" right="0.7" top="0.75" bottom="0.75" header="0.3" footer="0.3"/>
  <pageSetup orientation="landscape" paperSize="9" scale="82"/>
  <headerFooter>
    <oddHeader>&amp;C&amp;F!&amp;A</oddHeader>
    <oddFooter>&amp;CPage 2 of 12&amp;R?2016</oddFooter>
    <evenHeader/>
    <evenFooter/>
    <firstHeader/>
    <firstFooter/>
  </headerFooter>
  <rowBreaks count="1" manualBreakCount="1">
    <brk id="36" min="0" max="177" man="1"/>
  </rowBreaks>
  <colBreaks count="2" manualBreakCount="2">
    <brk id="8" min="0" max="75" man="1"/>
    <brk id="15" min="0" max="75" man="1"/>
  </colBreaks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A1:BS77"/>
  <sheetViews>
    <sheetView view="pageBreakPreview" zoomScale="85" zoomScaleNormal="100" zoomScaleSheetLayoutView="85" workbookViewId="0">
      <pane xSplit="2" ySplit="3" topLeftCell="C31" activePane="bottomRight" state="frozen"/>
      <selection pane="topRight" activeCell="C1" sqref="C1"/>
      <selection pane="bottomLeft" activeCell="A4" sqref="A4"/>
      <selection pane="bottomRight" activeCell="C7" sqref="C7"/>
    </sheetView>
  </sheetViews>
  <sheetFormatPr baseColWidth="8" defaultColWidth="9.140625" defaultRowHeight="12"/>
  <cols>
    <col width="29.140625" bestFit="1" customWidth="1" style="676" min="1" max="1"/>
    <col width="1" customWidth="1" style="676" min="2" max="2"/>
    <col width="13.42578125" bestFit="1" customWidth="1" style="676" min="3" max="15"/>
    <col width="2.5703125" customWidth="1" style="676" min="16" max="16"/>
    <col width="2.28515625" customWidth="1" style="676" min="17" max="17"/>
    <col width="13.42578125" bestFit="1" customWidth="1" style="101" min="18" max="29"/>
    <col width="2.28515625" customWidth="1" style="101" min="30" max="31"/>
    <col width="13.42578125" bestFit="1" customWidth="1" style="101" min="32" max="43"/>
    <col width="2.42578125" customWidth="1" style="101" min="44" max="44"/>
    <col width="2.7109375" customWidth="1" style="101" min="45" max="45"/>
    <col width="10.42578125" bestFit="1" customWidth="1" style="101" min="46" max="57"/>
    <col width="1.7109375" customWidth="1" style="101" min="58" max="59"/>
    <col width="12.5703125" bestFit="1" customWidth="1" style="101" min="60" max="60"/>
    <col width="10.42578125" bestFit="1" customWidth="1" style="101" min="61" max="71"/>
    <col width="9.140625" customWidth="1" style="101" min="72" max="16384"/>
  </cols>
  <sheetData>
    <row r="1">
      <c r="C1" s="677" t="n"/>
      <c r="D1" s="678" t="inlineStr">
        <is>
          <t>Year 1</t>
        </is>
      </c>
      <c r="E1" s="678" t="inlineStr">
        <is>
          <t>Year 1</t>
        </is>
      </c>
      <c r="F1" s="678" t="inlineStr">
        <is>
          <t>Year 1</t>
        </is>
      </c>
      <c r="G1" s="678" t="inlineStr">
        <is>
          <t>Year 1</t>
        </is>
      </c>
      <c r="H1" s="678" t="inlineStr">
        <is>
          <t>Year 1</t>
        </is>
      </c>
      <c r="I1" s="678" t="inlineStr">
        <is>
          <t>Year 1</t>
        </is>
      </c>
      <c r="J1" s="678" t="inlineStr">
        <is>
          <t>Year 1</t>
        </is>
      </c>
      <c r="K1" s="678" t="inlineStr">
        <is>
          <t>Year 1</t>
        </is>
      </c>
      <c r="L1" s="678" t="inlineStr">
        <is>
          <t>Year 1</t>
        </is>
      </c>
      <c r="M1" s="678" t="inlineStr">
        <is>
          <t>Year 1</t>
        </is>
      </c>
      <c r="N1" s="678" t="inlineStr">
        <is>
          <t>Year 1</t>
        </is>
      </c>
      <c r="O1" s="678" t="inlineStr">
        <is>
          <t>Year 1</t>
        </is>
      </c>
      <c r="R1" s="678" t="inlineStr">
        <is>
          <t>Year 2</t>
        </is>
      </c>
      <c r="S1" s="678" t="inlineStr">
        <is>
          <t>Year 2</t>
        </is>
      </c>
      <c r="T1" s="678" t="inlineStr">
        <is>
          <t>Year 2</t>
        </is>
      </c>
      <c r="U1" s="678" t="inlineStr">
        <is>
          <t>Year 2</t>
        </is>
      </c>
      <c r="V1" s="678" t="inlineStr">
        <is>
          <t>Year 2</t>
        </is>
      </c>
      <c r="W1" s="678" t="inlineStr">
        <is>
          <t>Year 2</t>
        </is>
      </c>
      <c r="X1" s="678" t="inlineStr">
        <is>
          <t>Year 2</t>
        </is>
      </c>
      <c r="Y1" s="678" t="inlineStr">
        <is>
          <t>Year 2</t>
        </is>
      </c>
      <c r="Z1" s="678" t="inlineStr">
        <is>
          <t>Year 2</t>
        </is>
      </c>
      <c r="AA1" s="678" t="inlineStr">
        <is>
          <t>Year 2</t>
        </is>
      </c>
      <c r="AB1" s="678" t="inlineStr">
        <is>
          <t>Year 2</t>
        </is>
      </c>
      <c r="AC1" s="678" t="inlineStr">
        <is>
          <t>Year 2</t>
        </is>
      </c>
      <c r="AF1" s="678" t="inlineStr">
        <is>
          <t>Year 3</t>
        </is>
      </c>
      <c r="AG1" s="678" t="inlineStr">
        <is>
          <t>Year 3</t>
        </is>
      </c>
      <c r="AH1" s="678" t="inlineStr">
        <is>
          <t>Year 3</t>
        </is>
      </c>
      <c r="AI1" s="678" t="inlineStr">
        <is>
          <t>Year 3</t>
        </is>
      </c>
      <c r="AJ1" s="678" t="inlineStr">
        <is>
          <t>Year 3</t>
        </is>
      </c>
      <c r="AK1" s="678" t="inlineStr">
        <is>
          <t>Year 3</t>
        </is>
      </c>
      <c r="AL1" s="678" t="inlineStr">
        <is>
          <t>Year 3</t>
        </is>
      </c>
      <c r="AM1" s="678" t="inlineStr">
        <is>
          <t>Year 3</t>
        </is>
      </c>
      <c r="AN1" s="678" t="inlineStr">
        <is>
          <t>Year 3</t>
        </is>
      </c>
      <c r="AO1" s="678" t="inlineStr">
        <is>
          <t>Year 3</t>
        </is>
      </c>
      <c r="AP1" s="678" t="inlineStr">
        <is>
          <t>Year 3</t>
        </is>
      </c>
      <c r="AQ1" s="678" t="inlineStr">
        <is>
          <t>Year 3</t>
        </is>
      </c>
      <c r="AR1" s="101" t="inlineStr">
        <is>
          <t>`</t>
        </is>
      </c>
      <c r="AT1" s="678" t="inlineStr">
        <is>
          <t>Year 4</t>
        </is>
      </c>
      <c r="AU1" s="678" t="inlineStr">
        <is>
          <t>Year 4</t>
        </is>
      </c>
      <c r="AV1" s="678" t="inlineStr">
        <is>
          <t>Year 4</t>
        </is>
      </c>
      <c r="AW1" s="678" t="inlineStr">
        <is>
          <t>Year 4</t>
        </is>
      </c>
      <c r="AX1" s="678" t="inlineStr">
        <is>
          <t>Year 4</t>
        </is>
      </c>
      <c r="AY1" s="678" t="inlineStr">
        <is>
          <t>Year 4</t>
        </is>
      </c>
      <c r="AZ1" s="678" t="inlineStr">
        <is>
          <t>Year 4</t>
        </is>
      </c>
      <c r="BA1" s="678" t="inlineStr">
        <is>
          <t>Year 4</t>
        </is>
      </c>
      <c r="BB1" s="678" t="inlineStr">
        <is>
          <t>Year 4</t>
        </is>
      </c>
      <c r="BC1" s="678" t="inlineStr">
        <is>
          <t>Year 4</t>
        </is>
      </c>
      <c r="BD1" s="678" t="inlineStr">
        <is>
          <t>Year 4</t>
        </is>
      </c>
      <c r="BE1" s="678" t="inlineStr">
        <is>
          <t>Year 4</t>
        </is>
      </c>
      <c r="BH1" s="678" t="inlineStr">
        <is>
          <t>Year 5</t>
        </is>
      </c>
      <c r="BI1" s="678" t="inlineStr">
        <is>
          <t>Year 5</t>
        </is>
      </c>
      <c r="BJ1" s="678" t="inlineStr">
        <is>
          <t>Year 5</t>
        </is>
      </c>
      <c r="BK1" s="678" t="inlineStr">
        <is>
          <t>Year 5</t>
        </is>
      </c>
      <c r="BL1" s="678" t="inlineStr">
        <is>
          <t>Year 5</t>
        </is>
      </c>
      <c r="BM1" s="678" t="inlineStr">
        <is>
          <t>Year 5</t>
        </is>
      </c>
      <c r="BN1" s="678" t="inlineStr">
        <is>
          <t>Year 5</t>
        </is>
      </c>
      <c r="BO1" s="678" t="inlineStr">
        <is>
          <t>Year 5</t>
        </is>
      </c>
      <c r="BP1" s="678" t="inlineStr">
        <is>
          <t>Year 5</t>
        </is>
      </c>
      <c r="BQ1" s="678" t="inlineStr">
        <is>
          <t>Year 5</t>
        </is>
      </c>
      <c r="BR1" s="678" t="inlineStr">
        <is>
          <t>Year 5</t>
        </is>
      </c>
      <c r="BS1" s="678" t="inlineStr">
        <is>
          <t>Year 5</t>
        </is>
      </c>
    </row>
    <row r="2">
      <c r="C2" s="678" t="inlineStr">
        <is>
          <t>Start up</t>
        </is>
      </c>
      <c r="D2" s="678" t="inlineStr">
        <is>
          <t>Month 1</t>
        </is>
      </c>
      <c r="E2" s="678" t="inlineStr">
        <is>
          <t>Month 2</t>
        </is>
      </c>
      <c r="F2" s="678" t="inlineStr">
        <is>
          <t>Month 3</t>
        </is>
      </c>
      <c r="G2" s="678" t="inlineStr">
        <is>
          <t>Month 4</t>
        </is>
      </c>
      <c r="H2" s="678" t="inlineStr">
        <is>
          <t>Month 5</t>
        </is>
      </c>
      <c r="I2" s="678" t="inlineStr">
        <is>
          <t>Month 6</t>
        </is>
      </c>
      <c r="J2" s="678" t="inlineStr">
        <is>
          <t>Month 7</t>
        </is>
      </c>
      <c r="K2" s="678" t="inlineStr">
        <is>
          <t>Month 8</t>
        </is>
      </c>
      <c r="L2" s="678" t="inlineStr">
        <is>
          <t>Month 9</t>
        </is>
      </c>
      <c r="M2" s="678" t="inlineStr">
        <is>
          <t>Month 10</t>
        </is>
      </c>
      <c r="N2" s="678" t="inlineStr">
        <is>
          <t>Month 11</t>
        </is>
      </c>
      <c r="O2" s="678" t="inlineStr">
        <is>
          <t>Month 12</t>
        </is>
      </c>
      <c r="P2" s="679" t="n"/>
      <c r="Q2" s="679" t="n"/>
      <c r="R2" s="678" t="inlineStr">
        <is>
          <t>Month 1</t>
        </is>
      </c>
      <c r="S2" s="678" t="inlineStr">
        <is>
          <t>Month 2</t>
        </is>
      </c>
      <c r="T2" s="678" t="inlineStr">
        <is>
          <t>Month 3</t>
        </is>
      </c>
      <c r="U2" s="678" t="inlineStr">
        <is>
          <t>Month 4</t>
        </is>
      </c>
      <c r="V2" s="678" t="inlineStr">
        <is>
          <t>Month 5</t>
        </is>
      </c>
      <c r="W2" s="678" t="inlineStr">
        <is>
          <t>Month 6</t>
        </is>
      </c>
      <c r="X2" s="678" t="inlineStr">
        <is>
          <t>Month 7</t>
        </is>
      </c>
      <c r="Y2" s="678" t="inlineStr">
        <is>
          <t>Month 8</t>
        </is>
      </c>
      <c r="Z2" s="678" t="inlineStr">
        <is>
          <t>Month 9</t>
        </is>
      </c>
      <c r="AA2" s="678" t="inlineStr">
        <is>
          <t>Month 10</t>
        </is>
      </c>
      <c r="AB2" s="678" t="inlineStr">
        <is>
          <t>Month 11</t>
        </is>
      </c>
      <c r="AC2" s="678" t="inlineStr">
        <is>
          <t>Month 12</t>
        </is>
      </c>
      <c r="AF2" s="678" t="inlineStr">
        <is>
          <t>Month 1</t>
        </is>
      </c>
      <c r="AG2" s="678" t="inlineStr">
        <is>
          <t>Month 2</t>
        </is>
      </c>
      <c r="AH2" s="678" t="inlineStr">
        <is>
          <t>Month 3</t>
        </is>
      </c>
      <c r="AI2" s="678" t="inlineStr">
        <is>
          <t>Month 4</t>
        </is>
      </c>
      <c r="AJ2" s="678" t="inlineStr">
        <is>
          <t>Month 5</t>
        </is>
      </c>
      <c r="AK2" s="678" t="inlineStr">
        <is>
          <t>Month 6</t>
        </is>
      </c>
      <c r="AL2" s="678" t="inlineStr">
        <is>
          <t>Month 7</t>
        </is>
      </c>
      <c r="AM2" s="678" t="inlineStr">
        <is>
          <t>Month 8</t>
        </is>
      </c>
      <c r="AN2" s="678" t="inlineStr">
        <is>
          <t>Month 9</t>
        </is>
      </c>
      <c r="AO2" s="678" t="inlineStr">
        <is>
          <t>Month 10</t>
        </is>
      </c>
      <c r="AP2" s="678" t="inlineStr">
        <is>
          <t>Month 11</t>
        </is>
      </c>
      <c r="AQ2" s="678" t="inlineStr">
        <is>
          <t>Month 12</t>
        </is>
      </c>
      <c r="AT2" s="678" t="inlineStr">
        <is>
          <t>Month 1</t>
        </is>
      </c>
      <c r="AU2" s="678" t="inlineStr">
        <is>
          <t>Month 2</t>
        </is>
      </c>
      <c r="AV2" s="678" t="inlineStr">
        <is>
          <t>Month 3</t>
        </is>
      </c>
      <c r="AW2" s="678" t="inlineStr">
        <is>
          <t>Month 4</t>
        </is>
      </c>
      <c r="AX2" s="678" t="inlineStr">
        <is>
          <t>Month 5</t>
        </is>
      </c>
      <c r="AY2" s="678" t="inlineStr">
        <is>
          <t>Month 6</t>
        </is>
      </c>
      <c r="AZ2" s="678" t="inlineStr">
        <is>
          <t>Month 7</t>
        </is>
      </c>
      <c r="BA2" s="678" t="inlineStr">
        <is>
          <t>Month 8</t>
        </is>
      </c>
      <c r="BB2" s="678" t="inlineStr">
        <is>
          <t>Month 9</t>
        </is>
      </c>
      <c r="BC2" s="678" t="inlineStr">
        <is>
          <t>Month 10</t>
        </is>
      </c>
      <c r="BD2" s="678" t="inlineStr">
        <is>
          <t>Month 11</t>
        </is>
      </c>
      <c r="BE2" s="678" t="inlineStr">
        <is>
          <t>Month 12</t>
        </is>
      </c>
      <c r="BH2" s="678" t="inlineStr">
        <is>
          <t>Month 1</t>
        </is>
      </c>
      <c r="BI2" s="678" t="inlineStr">
        <is>
          <t>Month 2</t>
        </is>
      </c>
      <c r="BJ2" s="678" t="inlineStr">
        <is>
          <t>Month 3</t>
        </is>
      </c>
      <c r="BK2" s="678" t="inlineStr">
        <is>
          <t>Month 4</t>
        </is>
      </c>
      <c r="BL2" s="678" t="inlineStr">
        <is>
          <t>Month 5</t>
        </is>
      </c>
      <c r="BM2" s="678" t="inlineStr">
        <is>
          <t>Month 6</t>
        </is>
      </c>
      <c r="BN2" s="678" t="inlineStr">
        <is>
          <t>Month 7</t>
        </is>
      </c>
      <c r="BO2" s="678" t="inlineStr">
        <is>
          <t>Month 8</t>
        </is>
      </c>
      <c r="BP2" s="678" t="inlineStr">
        <is>
          <t>Month 9</t>
        </is>
      </c>
      <c r="BQ2" s="678" t="inlineStr">
        <is>
          <t>Month 10</t>
        </is>
      </c>
      <c r="BR2" s="678" t="inlineStr">
        <is>
          <t>Month 11</t>
        </is>
      </c>
      <c r="BS2" s="678" t="inlineStr">
        <is>
          <t>Month 12</t>
        </is>
      </c>
    </row>
    <row r="3" customFormat="1" s="103">
      <c r="A3" s="679" t="inlineStr">
        <is>
          <t>Account</t>
        </is>
      </c>
      <c r="B3" s="679" t="n"/>
      <c r="C3" s="678" t="inlineStr">
        <is>
          <t>DR / (CR)</t>
        </is>
      </c>
      <c r="D3" s="678" t="inlineStr">
        <is>
          <t>DR / (CR)</t>
        </is>
      </c>
      <c r="E3" s="678" t="inlineStr">
        <is>
          <t>DR / (CR)</t>
        </is>
      </c>
      <c r="F3" s="678" t="inlineStr">
        <is>
          <t>DR / (CR)</t>
        </is>
      </c>
      <c r="G3" s="678" t="inlineStr">
        <is>
          <t>DR / (CR)</t>
        </is>
      </c>
      <c r="H3" s="678" t="inlineStr">
        <is>
          <t>DR / (CR)</t>
        </is>
      </c>
      <c r="I3" s="678" t="inlineStr">
        <is>
          <t>DR / (CR)</t>
        </is>
      </c>
      <c r="J3" s="678" t="inlineStr">
        <is>
          <t>DR / (CR)</t>
        </is>
      </c>
      <c r="K3" s="678" t="inlineStr">
        <is>
          <t>DR / (CR)</t>
        </is>
      </c>
      <c r="L3" s="678" t="inlineStr">
        <is>
          <t>DR / (CR)</t>
        </is>
      </c>
      <c r="M3" s="678" t="inlineStr">
        <is>
          <t>DR / (CR)</t>
        </is>
      </c>
      <c r="N3" s="678" t="inlineStr">
        <is>
          <t>DR / (CR)</t>
        </is>
      </c>
      <c r="O3" s="678" t="inlineStr">
        <is>
          <t>DR / (CR)</t>
        </is>
      </c>
      <c r="P3" s="679" t="n"/>
      <c r="Q3" s="679" t="n"/>
      <c r="R3" s="678" t="inlineStr">
        <is>
          <t>DR / (CR)</t>
        </is>
      </c>
      <c r="S3" s="678" t="inlineStr">
        <is>
          <t>DR / (CR)</t>
        </is>
      </c>
      <c r="T3" s="678" t="inlineStr">
        <is>
          <t>DR / (CR)</t>
        </is>
      </c>
      <c r="U3" s="678" t="inlineStr">
        <is>
          <t>DR / (CR)</t>
        </is>
      </c>
      <c r="V3" s="678" t="inlineStr">
        <is>
          <t>DR / (CR)</t>
        </is>
      </c>
      <c r="W3" s="678" t="inlineStr">
        <is>
          <t>DR / (CR)</t>
        </is>
      </c>
      <c r="X3" s="678" t="inlineStr">
        <is>
          <t>DR / (CR)</t>
        </is>
      </c>
      <c r="Y3" s="678" t="inlineStr">
        <is>
          <t>DR / (CR)</t>
        </is>
      </c>
      <c r="Z3" s="678" t="inlineStr">
        <is>
          <t>DR / (CR)</t>
        </is>
      </c>
      <c r="AA3" s="678" t="inlineStr">
        <is>
          <t>DR / (CR)</t>
        </is>
      </c>
      <c r="AB3" s="678" t="inlineStr">
        <is>
          <t>DR / (CR)</t>
        </is>
      </c>
      <c r="AC3" s="678" t="inlineStr">
        <is>
          <t>DR / (CR)</t>
        </is>
      </c>
      <c r="AF3" s="678" t="inlineStr">
        <is>
          <t>DR / (CR)</t>
        </is>
      </c>
      <c r="AG3" s="678" t="inlineStr">
        <is>
          <t>DR / (CR)</t>
        </is>
      </c>
      <c r="AH3" s="678" t="inlineStr">
        <is>
          <t>DR / (CR)</t>
        </is>
      </c>
      <c r="AI3" s="678" t="inlineStr">
        <is>
          <t>DR / (CR)</t>
        </is>
      </c>
      <c r="AJ3" s="678" t="inlineStr">
        <is>
          <t>DR / (CR)</t>
        </is>
      </c>
      <c r="AK3" s="678" t="inlineStr">
        <is>
          <t>DR / (CR)</t>
        </is>
      </c>
      <c r="AL3" s="678" t="inlineStr">
        <is>
          <t>DR / (CR)</t>
        </is>
      </c>
      <c r="AM3" s="678" t="inlineStr">
        <is>
          <t>DR / (CR)</t>
        </is>
      </c>
      <c r="AN3" s="678" t="inlineStr">
        <is>
          <t>DR / (CR)</t>
        </is>
      </c>
      <c r="AO3" s="678" t="inlineStr">
        <is>
          <t>DR / (CR)</t>
        </is>
      </c>
      <c r="AP3" s="678" t="inlineStr">
        <is>
          <t>DR / (CR)</t>
        </is>
      </c>
      <c r="AQ3" s="678" t="inlineStr">
        <is>
          <t>DR / (CR)</t>
        </is>
      </c>
      <c r="AS3" s="101" t="n"/>
      <c r="AT3" s="678" t="inlineStr">
        <is>
          <t>DR / (CR)</t>
        </is>
      </c>
      <c r="AU3" s="678" t="inlineStr">
        <is>
          <t>DR / (CR)</t>
        </is>
      </c>
      <c r="AV3" s="678" t="inlineStr">
        <is>
          <t>DR / (CR)</t>
        </is>
      </c>
      <c r="AW3" s="678" t="inlineStr">
        <is>
          <t>DR / (CR)</t>
        </is>
      </c>
      <c r="AX3" s="678" t="inlineStr">
        <is>
          <t>DR / (CR)</t>
        </is>
      </c>
      <c r="AY3" s="678" t="inlineStr">
        <is>
          <t>DR / (CR)</t>
        </is>
      </c>
      <c r="AZ3" s="678" t="inlineStr">
        <is>
          <t>DR / (CR)</t>
        </is>
      </c>
      <c r="BA3" s="678" t="inlineStr">
        <is>
          <t>DR / (CR)</t>
        </is>
      </c>
      <c r="BB3" s="678" t="inlineStr">
        <is>
          <t>DR / (CR)</t>
        </is>
      </c>
      <c r="BC3" s="678" t="inlineStr">
        <is>
          <t>DR / (CR)</t>
        </is>
      </c>
      <c r="BD3" s="678" t="inlineStr">
        <is>
          <t>DR / (CR)</t>
        </is>
      </c>
      <c r="BE3" s="678" t="inlineStr">
        <is>
          <t>DR / (CR)</t>
        </is>
      </c>
      <c r="BH3" s="678" t="inlineStr">
        <is>
          <t>DR / (CR)</t>
        </is>
      </c>
      <c r="BI3" s="678" t="inlineStr">
        <is>
          <t>DR / (CR)</t>
        </is>
      </c>
      <c r="BJ3" s="678" t="inlineStr">
        <is>
          <t>DR / (CR)</t>
        </is>
      </c>
      <c r="BK3" s="678" t="inlineStr">
        <is>
          <t>DR / (CR)</t>
        </is>
      </c>
      <c r="BL3" s="678" t="inlineStr">
        <is>
          <t>DR / (CR)</t>
        </is>
      </c>
      <c r="BM3" s="678" t="inlineStr">
        <is>
          <t>DR / (CR)</t>
        </is>
      </c>
      <c r="BN3" s="678" t="inlineStr">
        <is>
          <t>DR / (CR)</t>
        </is>
      </c>
      <c r="BO3" s="678" t="inlineStr">
        <is>
          <t>DR / (CR)</t>
        </is>
      </c>
      <c r="BP3" s="678" t="inlineStr">
        <is>
          <t>DR / (CR)</t>
        </is>
      </c>
      <c r="BQ3" s="678" t="inlineStr">
        <is>
          <t>DR / (CR)</t>
        </is>
      </c>
      <c r="BR3" s="678" t="inlineStr">
        <is>
          <t>DR / (CR)</t>
        </is>
      </c>
      <c r="BS3" s="678" t="inlineStr">
        <is>
          <t>DR / (CR)</t>
        </is>
      </c>
    </row>
    <row r="4">
      <c r="A4" s="676" t="inlineStr">
        <is>
          <t>Short Term Loan</t>
        </is>
      </c>
      <c r="C4" s="680">
        <f>-Calc!B59</f>
        <v/>
      </c>
      <c r="D4" s="681" t="n"/>
      <c r="E4" s="680" t="n"/>
      <c r="F4" s="680" t="n"/>
      <c r="G4" s="680" t="n"/>
      <c r="H4" s="680" t="n"/>
      <c r="I4" s="680" t="n"/>
      <c r="J4" s="680" t="n"/>
      <c r="K4" s="680" t="n"/>
      <c r="L4" s="680" t="n"/>
      <c r="M4" s="680" t="n"/>
      <c r="N4" s="680" t="n"/>
      <c r="O4" s="680" t="n"/>
      <c r="P4" s="680" t="n"/>
      <c r="Q4" s="680" t="n"/>
      <c r="R4" s="681" t="n"/>
      <c r="S4" s="681" t="n"/>
      <c r="T4" s="681" t="n"/>
      <c r="U4" s="681" t="n"/>
      <c r="V4" s="681" t="n"/>
      <c r="W4" s="681" t="n"/>
      <c r="X4" s="681" t="n"/>
      <c r="Y4" s="681" t="n"/>
      <c r="Z4" s="681" t="n"/>
      <c r="AA4" s="681" t="n"/>
      <c r="AB4" s="681" t="n"/>
      <c r="AC4" s="681" t="n"/>
      <c r="AD4" s="681" t="n"/>
      <c r="AE4" s="681" t="n"/>
      <c r="AF4" s="681" t="n"/>
      <c r="AG4" s="681" t="n"/>
      <c r="AH4" s="681" t="n"/>
      <c r="AI4" s="681" t="n"/>
      <c r="AJ4" s="681" t="n"/>
      <c r="AK4" s="681" t="n"/>
      <c r="AL4" s="681" t="n"/>
      <c r="AM4" s="681" t="n"/>
      <c r="AN4" s="681" t="n"/>
      <c r="AO4" s="681" t="n"/>
      <c r="AP4" s="681" t="n"/>
      <c r="AQ4" s="681" t="n"/>
      <c r="AR4" s="681" t="n"/>
      <c r="AT4" s="681" t="n"/>
      <c r="AU4" s="681" t="n"/>
      <c r="AV4" s="681" t="n"/>
      <c r="AW4" s="681" t="n"/>
      <c r="AX4" s="681" t="n"/>
      <c r="AY4" s="681" t="n"/>
      <c r="AZ4" s="681" t="n"/>
      <c r="BA4" s="681" t="n"/>
      <c r="BB4" s="681" t="n"/>
      <c r="BC4" s="681" t="n"/>
      <c r="BD4" s="681" t="n"/>
      <c r="BE4" s="681" t="n"/>
      <c r="BH4" s="681" t="n"/>
      <c r="BI4" s="681" t="n"/>
      <c r="BJ4" s="681" t="n"/>
      <c r="BK4" s="681" t="n"/>
      <c r="BL4" s="681" t="n"/>
      <c r="BM4" s="681" t="n"/>
      <c r="BN4" s="681" t="n"/>
      <c r="BO4" s="681" t="n"/>
      <c r="BP4" s="681" t="n"/>
      <c r="BQ4" s="681" t="n"/>
      <c r="BR4" s="681" t="n"/>
      <c r="BS4" s="681" t="n"/>
    </row>
    <row r="5">
      <c r="A5" s="676" t="inlineStr">
        <is>
          <t>Cash in hand and at bank</t>
        </is>
      </c>
      <c r="C5" s="680">
        <f>-C4</f>
        <v/>
      </c>
      <c r="D5" s="681" t="n"/>
      <c r="E5" s="680" t="n"/>
      <c r="F5" s="680" t="n"/>
      <c r="G5" s="680" t="n"/>
      <c r="H5" s="680" t="n"/>
      <c r="I5" s="680" t="n"/>
      <c r="J5" s="680" t="n"/>
      <c r="K5" s="680" t="n"/>
      <c r="L5" s="680" t="n"/>
      <c r="M5" s="680" t="n"/>
      <c r="N5" s="680" t="n"/>
      <c r="O5" s="680" t="n"/>
      <c r="P5" s="680" t="n"/>
      <c r="Q5" s="680" t="n"/>
      <c r="R5" s="681" t="n"/>
      <c r="S5" s="681" t="n"/>
      <c r="T5" s="681" t="n"/>
      <c r="U5" s="681" t="n"/>
      <c r="V5" s="681" t="n"/>
      <c r="W5" s="681" t="n"/>
      <c r="X5" s="681" t="n"/>
      <c r="Y5" s="681" t="n"/>
      <c r="Z5" s="681" t="n"/>
      <c r="AA5" s="681" t="n"/>
      <c r="AB5" s="681" t="n"/>
      <c r="AC5" s="681" t="n"/>
      <c r="AD5" s="681" t="n"/>
      <c r="AE5" s="681" t="n"/>
      <c r="AF5" s="681" t="n"/>
      <c r="AG5" s="681" t="n"/>
      <c r="AH5" s="681" t="n"/>
      <c r="AI5" s="681" t="n"/>
      <c r="AJ5" s="681" t="n"/>
      <c r="AK5" s="681" t="n"/>
      <c r="AL5" s="681" t="n"/>
      <c r="AM5" s="681" t="n"/>
      <c r="AN5" s="681" t="n"/>
      <c r="AO5" s="681" t="n"/>
      <c r="AP5" s="681" t="n"/>
      <c r="AQ5" s="681" t="n"/>
      <c r="AR5" s="681" t="n"/>
      <c r="AT5" s="681" t="n"/>
      <c r="AU5" s="681" t="n"/>
      <c r="AV5" s="681" t="n"/>
      <c r="AW5" s="681" t="n"/>
      <c r="AX5" s="681" t="n"/>
      <c r="AY5" s="681" t="n"/>
      <c r="AZ5" s="681" t="n"/>
      <c r="BA5" s="681" t="n"/>
      <c r="BB5" s="681" t="n"/>
      <c r="BC5" s="681" t="n"/>
      <c r="BD5" s="681" t="n"/>
      <c r="BE5" s="681" t="n"/>
      <c r="BH5" s="681" t="n"/>
      <c r="BI5" s="681" t="n"/>
      <c r="BJ5" s="681" t="n"/>
      <c r="BK5" s="681" t="n"/>
      <c r="BL5" s="681" t="n"/>
      <c r="BM5" s="681" t="n"/>
      <c r="BN5" s="681" t="n"/>
      <c r="BO5" s="681" t="n"/>
      <c r="BP5" s="681" t="n"/>
      <c r="BQ5" s="681" t="n"/>
      <c r="BR5" s="681" t="n"/>
      <c r="BS5" s="681" t="n"/>
    </row>
    <row r="6">
      <c r="A6" s="676" t="n">
        <v>0</v>
      </c>
      <c r="C6" s="680" t="n"/>
      <c r="D6" s="680" t="n">
        <v>0</v>
      </c>
      <c r="E6" s="680" t="n">
        <v>0</v>
      </c>
      <c r="F6" s="680" t="n">
        <v>0</v>
      </c>
      <c r="G6" s="680" t="n">
        <v>0</v>
      </c>
      <c r="H6" s="680" t="n">
        <v>0</v>
      </c>
      <c r="I6" s="680" t="n">
        <v>0</v>
      </c>
      <c r="J6" s="680" t="n">
        <v>0</v>
      </c>
      <c r="K6" s="680" t="n">
        <v>0</v>
      </c>
      <c r="L6" s="680" t="n">
        <v>0</v>
      </c>
      <c r="M6" s="680" t="n">
        <v>0</v>
      </c>
      <c r="N6" s="680" t="n">
        <v>0</v>
      </c>
      <c r="O6" s="680" t="n">
        <v>0</v>
      </c>
      <c r="P6" s="680" t="n"/>
      <c r="Q6" s="680" t="n"/>
      <c r="R6" s="681" t="n"/>
      <c r="S6" s="681" t="n"/>
      <c r="T6" s="681" t="n"/>
      <c r="U6" s="681" t="n"/>
      <c r="V6" s="681" t="n"/>
      <c r="W6" s="681" t="n"/>
      <c r="X6" s="681" t="n"/>
      <c r="Y6" s="681" t="n"/>
      <c r="Z6" s="681" t="n"/>
      <c r="AA6" s="681" t="n"/>
      <c r="AB6" s="681" t="n"/>
      <c r="AC6" s="681" t="n"/>
      <c r="AD6" s="681" t="n"/>
      <c r="AE6" s="681" t="n"/>
      <c r="AF6" s="681" t="n"/>
      <c r="AG6" s="681" t="n"/>
      <c r="AH6" s="681" t="n"/>
      <c r="AI6" s="681" t="n"/>
      <c r="AJ6" s="681" t="n"/>
      <c r="AK6" s="681" t="n"/>
      <c r="AL6" s="681" t="n"/>
      <c r="AM6" s="681" t="n"/>
      <c r="AN6" s="681" t="n"/>
      <c r="AO6" s="681" t="n"/>
      <c r="AP6" s="681" t="n"/>
      <c r="AQ6" s="681" t="n"/>
      <c r="AR6" s="681" t="n"/>
      <c r="AT6" s="681" t="n"/>
      <c r="AU6" s="681" t="n"/>
      <c r="AV6" s="681" t="n"/>
      <c r="AW6" s="681" t="n"/>
      <c r="AX6" s="681" t="n"/>
      <c r="AY6" s="681" t="n"/>
      <c r="AZ6" s="681" t="n"/>
      <c r="BA6" s="681" t="n"/>
      <c r="BB6" s="681" t="n"/>
      <c r="BC6" s="681" t="n"/>
      <c r="BD6" s="681" t="n"/>
      <c r="BE6" s="681" t="n"/>
      <c r="BH6" s="681" t="n"/>
      <c r="BI6" s="681" t="n"/>
      <c r="BJ6" s="681" t="n"/>
      <c r="BK6" s="681" t="n"/>
      <c r="BL6" s="681" t="n"/>
      <c r="BM6" s="681" t="n"/>
      <c r="BN6" s="681" t="n"/>
      <c r="BO6" s="681" t="n"/>
      <c r="BP6" s="681" t="n"/>
      <c r="BQ6" s="681" t="n"/>
      <c r="BR6" s="681" t="n"/>
      <c r="BS6" s="681" t="n"/>
    </row>
    <row r="7">
      <c r="A7" s="676" t="inlineStr">
        <is>
          <t>Equipment</t>
        </is>
      </c>
      <c r="C7" s="680">
        <f>SUM(Assums!E6:E15)</f>
        <v/>
      </c>
      <c r="D7" s="680" t="n"/>
      <c r="E7" s="680" t="n"/>
      <c r="F7" s="680" t="n"/>
      <c r="G7" s="680" t="n"/>
      <c r="H7" s="680" t="n"/>
      <c r="I7" s="680" t="n"/>
      <c r="J7" s="680" t="n"/>
      <c r="K7" s="680" t="n"/>
      <c r="L7" s="680" t="n"/>
      <c r="M7" s="680" t="n"/>
      <c r="N7" s="680" t="n"/>
      <c r="O7" s="680" t="n"/>
      <c r="P7" s="680" t="n"/>
      <c r="Q7" s="680" t="n"/>
      <c r="R7" s="681" t="n"/>
      <c r="S7" s="681" t="n"/>
      <c r="T7" s="681" t="n"/>
      <c r="U7" s="681" t="n"/>
      <c r="V7" s="681" t="n"/>
      <c r="W7" s="681" t="n"/>
      <c r="X7" s="681" t="n"/>
      <c r="Y7" s="681" t="n"/>
      <c r="Z7" s="681" t="n"/>
      <c r="AA7" s="681" t="n"/>
      <c r="AB7" s="681" t="n"/>
      <c r="AC7" s="681" t="n"/>
      <c r="AD7" s="681" t="n"/>
      <c r="AE7" s="681" t="n"/>
      <c r="AF7" s="681" t="n"/>
      <c r="AG7" s="681" t="n"/>
      <c r="AH7" s="681" t="n"/>
      <c r="AI7" s="681" t="n"/>
      <c r="AJ7" s="681" t="n"/>
      <c r="AK7" s="681" t="n"/>
      <c r="AL7" s="681" t="n"/>
      <c r="AM7" s="681" t="n"/>
      <c r="AN7" s="681" t="n"/>
      <c r="AO7" s="681" t="n"/>
      <c r="AP7" s="681" t="n"/>
      <c r="AQ7" s="681" t="n"/>
      <c r="AR7" s="681" t="n"/>
      <c r="AT7" s="681" t="n"/>
      <c r="AU7" s="681" t="n"/>
      <c r="AV7" s="681" t="n"/>
      <c r="AW7" s="681" t="n"/>
      <c r="AX7" s="681" t="n"/>
      <c r="AY7" s="681" t="n"/>
      <c r="AZ7" s="681" t="n"/>
      <c r="BA7" s="681" t="n"/>
      <c r="BB7" s="681" t="n"/>
      <c r="BC7" s="681" t="n"/>
      <c r="BD7" s="681" t="n"/>
      <c r="BE7" s="681" t="n"/>
      <c r="BH7" s="681" t="n"/>
      <c r="BI7" s="681" t="n"/>
      <c r="BJ7" s="681" t="n"/>
      <c r="BK7" s="681" t="n"/>
      <c r="BL7" s="681" t="n"/>
      <c r="BM7" s="681" t="n"/>
      <c r="BN7" s="681" t="n"/>
      <c r="BO7" s="681" t="n"/>
      <c r="BP7" s="681" t="n"/>
      <c r="BQ7" s="681" t="n"/>
      <c r="BR7" s="681" t="n"/>
      <c r="BS7" s="681" t="n"/>
    </row>
    <row r="8">
      <c r="A8" s="676" t="inlineStr">
        <is>
          <t>Marketing</t>
        </is>
      </c>
      <c r="C8" s="680">
        <f>Assums!E18</f>
        <v/>
      </c>
      <c r="D8" s="680" t="n"/>
      <c r="E8" s="680" t="n"/>
      <c r="F8" s="680" t="n"/>
      <c r="G8" s="680" t="n"/>
      <c r="H8" s="680" t="n"/>
      <c r="I8" s="680" t="n"/>
      <c r="J8" s="680" t="n"/>
      <c r="K8" s="680" t="n"/>
      <c r="L8" s="680" t="n"/>
      <c r="M8" s="680" t="n"/>
      <c r="N8" s="680" t="n"/>
      <c r="O8" s="680" t="n"/>
      <c r="P8" s="680" t="n"/>
      <c r="Q8" s="680" t="n"/>
      <c r="R8" s="681" t="n"/>
      <c r="S8" s="681" t="n"/>
      <c r="T8" s="681" t="n"/>
      <c r="U8" s="681" t="n"/>
      <c r="V8" s="681" t="n"/>
      <c r="W8" s="681" t="n"/>
      <c r="X8" s="681" t="n"/>
      <c r="Y8" s="681" t="n"/>
      <c r="Z8" s="681" t="n"/>
      <c r="AA8" s="681" t="n"/>
      <c r="AB8" s="681" t="n"/>
      <c r="AC8" s="681" t="n"/>
      <c r="AD8" s="681" t="n"/>
      <c r="AE8" s="681" t="n"/>
      <c r="AF8" s="681" t="n"/>
      <c r="AG8" s="681" t="n"/>
      <c r="AH8" s="681" t="n"/>
      <c r="AI8" s="681" t="n"/>
      <c r="AJ8" s="681" t="n"/>
      <c r="AK8" s="681" t="n"/>
      <c r="AL8" s="681" t="n"/>
      <c r="AM8" s="681" t="n"/>
      <c r="AN8" s="681" t="n"/>
      <c r="AO8" s="681" t="n"/>
      <c r="AP8" s="681" t="n"/>
      <c r="AQ8" s="681" t="n"/>
      <c r="AR8" s="681" t="n"/>
      <c r="AT8" s="681" t="n"/>
      <c r="AU8" s="681" t="n"/>
      <c r="AV8" s="681" t="n"/>
      <c r="AW8" s="681" t="n"/>
      <c r="AX8" s="681" t="n"/>
      <c r="AY8" s="681" t="n"/>
      <c r="AZ8" s="681" t="n"/>
      <c r="BA8" s="681" t="n"/>
      <c r="BB8" s="681" t="n"/>
      <c r="BC8" s="681" t="n"/>
      <c r="BD8" s="681" t="n"/>
      <c r="BE8" s="681" t="n"/>
      <c r="BH8" s="681" t="n"/>
      <c r="BI8" s="681" t="n"/>
      <c r="BJ8" s="681" t="n"/>
      <c r="BK8" s="681" t="n"/>
      <c r="BL8" s="681" t="n"/>
      <c r="BM8" s="681" t="n"/>
      <c r="BN8" s="681" t="n"/>
      <c r="BO8" s="681" t="n"/>
      <c r="BP8" s="681" t="n"/>
      <c r="BQ8" s="681" t="n"/>
      <c r="BR8" s="681" t="n"/>
      <c r="BS8" s="681" t="n"/>
    </row>
    <row r="9">
      <c r="A9" s="676" t="inlineStr">
        <is>
          <t xml:space="preserve">Fibre optic lease </t>
        </is>
      </c>
      <c r="C9" s="680">
        <f>Assums!E16</f>
        <v/>
      </c>
      <c r="D9" s="680" t="n"/>
      <c r="E9" s="680" t="n"/>
      <c r="F9" s="680" t="n"/>
      <c r="G9" s="680" t="n"/>
      <c r="H9" s="680" t="n"/>
      <c r="I9" s="680" t="n"/>
      <c r="J9" s="680" t="n"/>
      <c r="K9" s="680" t="n"/>
      <c r="L9" s="680" t="n"/>
      <c r="M9" s="680" t="n"/>
      <c r="N9" s="680" t="n"/>
      <c r="O9" s="680" t="n"/>
      <c r="P9" s="680" t="n"/>
      <c r="Q9" s="680" t="n"/>
      <c r="R9" s="681" t="n"/>
      <c r="S9" s="681" t="n"/>
      <c r="T9" s="681" t="n"/>
      <c r="U9" s="681" t="n"/>
      <c r="V9" s="681" t="n"/>
      <c r="W9" s="681" t="n"/>
      <c r="X9" s="681" t="n"/>
      <c r="Y9" s="681" t="n"/>
      <c r="Z9" s="681" t="n"/>
      <c r="AA9" s="681" t="n"/>
      <c r="AB9" s="681" t="n"/>
      <c r="AC9" s="681" t="n"/>
      <c r="AD9" s="681" t="n"/>
      <c r="AE9" s="681" t="n"/>
      <c r="AF9" s="681" t="n"/>
      <c r="AG9" s="681" t="n"/>
      <c r="AH9" s="681" t="n"/>
      <c r="AI9" s="681" t="n"/>
      <c r="AJ9" s="681" t="n"/>
      <c r="AK9" s="681" t="n"/>
      <c r="AL9" s="681" t="n"/>
      <c r="AM9" s="681" t="n"/>
      <c r="AN9" s="681" t="n"/>
      <c r="AO9" s="681" t="n"/>
      <c r="AP9" s="681" t="n"/>
      <c r="AQ9" s="681" t="n"/>
      <c r="AR9" s="681" t="n"/>
      <c r="AT9" s="681" t="n"/>
      <c r="AU9" s="681" t="n"/>
      <c r="AV9" s="681" t="n"/>
      <c r="AW9" s="681" t="n"/>
      <c r="AX9" s="681" t="n"/>
      <c r="AY9" s="681" t="n"/>
      <c r="AZ9" s="681" t="n"/>
      <c r="BA9" s="681" t="n"/>
      <c r="BB9" s="681" t="n"/>
      <c r="BC9" s="681" t="n"/>
      <c r="BD9" s="681" t="n"/>
      <c r="BE9" s="681" t="n"/>
      <c r="BH9" s="681" t="n"/>
      <c r="BI9" s="681" t="n"/>
      <c r="BJ9" s="681" t="n"/>
      <c r="BK9" s="681" t="n"/>
      <c r="BL9" s="681" t="n"/>
      <c r="BM9" s="681" t="n"/>
      <c r="BN9" s="681" t="n"/>
      <c r="BO9" s="681" t="n"/>
      <c r="BP9" s="681" t="n"/>
      <c r="BQ9" s="681" t="n"/>
      <c r="BR9" s="681" t="n"/>
      <c r="BS9" s="681" t="n"/>
    </row>
    <row r="10">
      <c r="A10" s="676" t="inlineStr">
        <is>
          <t>Professional and Legal Costs</t>
        </is>
      </c>
      <c r="C10" s="680">
        <f>Assums!E17</f>
        <v/>
      </c>
      <c r="D10" s="680" t="n"/>
      <c r="E10" s="680" t="n"/>
      <c r="F10" s="680" t="n"/>
      <c r="G10" s="680" t="n"/>
      <c r="H10" s="680" t="n"/>
      <c r="I10" s="680" t="n"/>
      <c r="J10" s="680" t="n"/>
      <c r="K10" s="680" t="n"/>
      <c r="L10" s="680" t="n"/>
      <c r="M10" s="680" t="n"/>
      <c r="N10" s="680" t="n"/>
      <c r="O10" s="680" t="n"/>
      <c r="P10" s="680" t="n"/>
      <c r="Q10" s="680" t="n"/>
      <c r="R10" s="681" t="n"/>
      <c r="S10" s="681" t="n"/>
      <c r="T10" s="681" t="n"/>
      <c r="U10" s="681" t="n"/>
      <c r="V10" s="681" t="n"/>
      <c r="W10" s="681" t="n"/>
      <c r="X10" s="681" t="n"/>
      <c r="Y10" s="681" t="n"/>
      <c r="Z10" s="681" t="n"/>
      <c r="AA10" s="681" t="n"/>
      <c r="AB10" s="681" t="n"/>
      <c r="AC10" s="681" t="n"/>
      <c r="AD10" s="681" t="n"/>
      <c r="AE10" s="681" t="n"/>
      <c r="AF10" s="681" t="n"/>
      <c r="AG10" s="681" t="n"/>
      <c r="AH10" s="681" t="n"/>
      <c r="AI10" s="681" t="n"/>
      <c r="AJ10" s="681" t="n"/>
      <c r="AK10" s="681" t="n"/>
      <c r="AL10" s="681" t="n"/>
      <c r="AM10" s="681" t="n"/>
      <c r="AN10" s="681" t="n"/>
      <c r="AO10" s="681" t="n"/>
      <c r="AP10" s="681" t="n"/>
      <c r="AQ10" s="681" t="n"/>
      <c r="AR10" s="681" t="n"/>
      <c r="AT10" s="681" t="n"/>
      <c r="AU10" s="681" t="n"/>
      <c r="AV10" s="681" t="n"/>
      <c r="AW10" s="681" t="n"/>
      <c r="AX10" s="681" t="n"/>
      <c r="AY10" s="681" t="n"/>
      <c r="AZ10" s="681" t="n"/>
      <c r="BA10" s="681" t="n"/>
      <c r="BB10" s="681" t="n"/>
      <c r="BC10" s="681" t="n"/>
      <c r="BD10" s="681" t="n"/>
      <c r="BE10" s="681" t="n"/>
      <c r="BH10" s="681" t="n"/>
      <c r="BI10" s="681" t="n"/>
      <c r="BJ10" s="681" t="n"/>
      <c r="BK10" s="681" t="n"/>
      <c r="BL10" s="681" t="n"/>
      <c r="BM10" s="681" t="n"/>
      <c r="BN10" s="681" t="n"/>
      <c r="BO10" s="681" t="n"/>
      <c r="BP10" s="681" t="n"/>
      <c r="BQ10" s="681" t="n"/>
      <c r="BR10" s="681" t="n"/>
      <c r="BS10" s="681" t="n"/>
    </row>
    <row r="11">
      <c r="A11" s="676" t="inlineStr">
        <is>
          <t>Cash in hand and at bank</t>
        </is>
      </c>
      <c r="C11" s="680">
        <f>-C7-C8-C9-C10</f>
        <v/>
      </c>
      <c r="D11" s="681" t="n"/>
      <c r="E11" s="680" t="n"/>
      <c r="F11" s="680" t="n"/>
      <c r="G11" s="680" t="n"/>
      <c r="H11" s="680" t="n"/>
      <c r="I11" s="680" t="n"/>
      <c r="J11" s="680" t="n"/>
      <c r="K11" s="680" t="n"/>
      <c r="L11" s="680" t="n"/>
      <c r="M11" s="680" t="n"/>
      <c r="N11" s="680" t="n"/>
      <c r="O11" s="680" t="n"/>
      <c r="P11" s="680" t="n"/>
      <c r="Q11" s="680" t="n"/>
      <c r="R11" s="681" t="n"/>
      <c r="S11" s="681" t="n"/>
      <c r="T11" s="681" t="n"/>
      <c r="U11" s="681" t="n"/>
      <c r="V11" s="681" t="n"/>
      <c r="W11" s="681" t="n"/>
      <c r="X11" s="681" t="n"/>
      <c r="Y11" s="681" t="n"/>
      <c r="Z11" s="681" t="n"/>
      <c r="AA11" s="681" t="n"/>
      <c r="AB11" s="681" t="n"/>
      <c r="AC11" s="681" t="n"/>
      <c r="AD11" s="681" t="n"/>
      <c r="AE11" s="681" t="n"/>
      <c r="AF11" s="681" t="n"/>
      <c r="AG11" s="681" t="n"/>
      <c r="AH11" s="681" t="n"/>
      <c r="AI11" s="681" t="n"/>
      <c r="AJ11" s="681" t="n"/>
      <c r="AK11" s="681" t="n"/>
      <c r="AL11" s="681" t="n"/>
      <c r="AM11" s="681" t="n"/>
      <c r="AN11" s="681" t="n"/>
      <c r="AO11" s="681" t="n"/>
      <c r="AP11" s="681" t="n"/>
      <c r="AQ11" s="681" t="n"/>
      <c r="AR11" s="681" t="n"/>
      <c r="AT11" s="681" t="n"/>
      <c r="AU11" s="681" t="n"/>
      <c r="AV11" s="681" t="n"/>
      <c r="AW11" s="681" t="n"/>
      <c r="AX11" s="681" t="n"/>
      <c r="AY11" s="681" t="n"/>
      <c r="AZ11" s="681" t="n"/>
      <c r="BA11" s="681" t="n"/>
      <c r="BB11" s="681" t="n"/>
      <c r="BC11" s="681" t="n"/>
      <c r="BD11" s="681" t="n"/>
      <c r="BE11" s="681" t="n"/>
      <c r="BH11" s="681" t="n"/>
      <c r="BI11" s="681" t="n"/>
      <c r="BJ11" s="681" t="n"/>
      <c r="BK11" s="681" t="n"/>
      <c r="BL11" s="681" t="n"/>
      <c r="BM11" s="681" t="n"/>
      <c r="BN11" s="681" t="n"/>
      <c r="BO11" s="681" t="n"/>
      <c r="BP11" s="681" t="n"/>
      <c r="BQ11" s="681" t="n"/>
      <c r="BR11" s="681" t="n"/>
      <c r="BS11" s="681" t="n"/>
    </row>
    <row r="12">
      <c r="A12" s="676" t="n">
        <v>0</v>
      </c>
      <c r="C12" s="680" t="n"/>
      <c r="D12" s="680" t="n">
        <v>0</v>
      </c>
      <c r="E12" s="680" t="n">
        <v>0</v>
      </c>
      <c r="F12" s="680" t="n">
        <v>0</v>
      </c>
      <c r="G12" s="680" t="n">
        <v>0</v>
      </c>
      <c r="H12" s="680" t="n">
        <v>0</v>
      </c>
      <c r="I12" s="680" t="n">
        <v>0</v>
      </c>
      <c r="J12" s="680" t="n">
        <v>0</v>
      </c>
      <c r="K12" s="680" t="n">
        <v>0</v>
      </c>
      <c r="L12" s="680" t="n">
        <v>0</v>
      </c>
      <c r="M12" s="680" t="n">
        <v>0</v>
      </c>
      <c r="N12" s="680" t="n">
        <v>0</v>
      </c>
      <c r="O12" s="680" t="n">
        <v>0</v>
      </c>
      <c r="P12" s="680" t="n"/>
      <c r="Q12" s="680" t="n"/>
      <c r="R12" s="681" t="n"/>
      <c r="S12" s="681" t="n"/>
      <c r="T12" s="681" t="n"/>
      <c r="U12" s="681" t="n"/>
      <c r="V12" s="681" t="n"/>
      <c r="W12" s="681" t="n"/>
      <c r="X12" s="681" t="n"/>
      <c r="Y12" s="681" t="n"/>
      <c r="Z12" s="681" t="n"/>
      <c r="AA12" s="681" t="n"/>
      <c r="AB12" s="681" t="n"/>
      <c r="AC12" s="681" t="n"/>
      <c r="AD12" s="681" t="n"/>
      <c r="AE12" s="681" t="n"/>
      <c r="AF12" s="681" t="n"/>
      <c r="AG12" s="681" t="n"/>
      <c r="AH12" s="681" t="n"/>
      <c r="AI12" s="681" t="n"/>
      <c r="AJ12" s="681" t="n"/>
      <c r="AK12" s="681" t="n"/>
      <c r="AL12" s="681" t="n"/>
      <c r="AM12" s="681" t="n"/>
      <c r="AN12" s="681" t="n"/>
      <c r="AO12" s="681" t="n"/>
      <c r="AP12" s="681" t="n"/>
      <c r="AQ12" s="681" t="n"/>
      <c r="AR12" s="681" t="n"/>
      <c r="AT12" s="681" t="n"/>
      <c r="AU12" s="681" t="n"/>
      <c r="AV12" s="681" t="n"/>
      <c r="AW12" s="681" t="n"/>
      <c r="AX12" s="681" t="n"/>
      <c r="AY12" s="681" t="n"/>
      <c r="AZ12" s="681" t="n"/>
      <c r="BA12" s="681" t="n"/>
      <c r="BB12" s="681" t="n"/>
      <c r="BC12" s="681" t="n"/>
      <c r="BD12" s="681" t="n"/>
      <c r="BE12" s="681" t="n"/>
      <c r="BH12" s="681" t="n"/>
      <c r="BI12" s="681" t="n"/>
      <c r="BJ12" s="681" t="n"/>
      <c r="BK12" s="681" t="n"/>
      <c r="BL12" s="681" t="n"/>
      <c r="BM12" s="681" t="n"/>
      <c r="BN12" s="681" t="n"/>
      <c r="BO12" s="681" t="n"/>
      <c r="BP12" s="681" t="n"/>
      <c r="BQ12" s="681" t="n"/>
      <c r="BR12" s="681" t="n"/>
      <c r="BS12" s="681" t="n"/>
    </row>
    <row r="13">
      <c r="A13" s="676" t="inlineStr">
        <is>
          <t>Daily wifi topups</t>
        </is>
      </c>
      <c r="C13" s="680" t="n"/>
      <c r="D13" s="680">
        <f>-Calc!C22</f>
        <v/>
      </c>
      <c r="E13" s="680">
        <f>-Calc!D22</f>
        <v/>
      </c>
      <c r="F13" s="680">
        <f>-Calc!E22</f>
        <v/>
      </c>
      <c r="G13" s="680">
        <f>-Calc!F22</f>
        <v/>
      </c>
      <c r="H13" s="680">
        <f>-Calc!G22</f>
        <v/>
      </c>
      <c r="I13" s="680">
        <f>-Calc!H22</f>
        <v/>
      </c>
      <c r="J13" s="680">
        <f>-Calc!I22</f>
        <v/>
      </c>
      <c r="K13" s="680">
        <f>-Calc!J22</f>
        <v/>
      </c>
      <c r="L13" s="680">
        <f>-Calc!K22</f>
        <v/>
      </c>
      <c r="M13" s="680">
        <f>-Calc!L22</f>
        <v/>
      </c>
      <c r="N13" s="680">
        <f>-Calc!M22</f>
        <v/>
      </c>
      <c r="O13" s="680">
        <f>-Calc!N22</f>
        <v/>
      </c>
      <c r="P13" s="680" t="n"/>
      <c r="Q13" s="680" t="n"/>
      <c r="R13" s="680">
        <f>-Calc!P22/12</f>
        <v/>
      </c>
      <c r="S13" s="680">
        <f>R13</f>
        <v/>
      </c>
      <c r="T13" s="680">
        <f>S13</f>
        <v/>
      </c>
      <c r="U13" s="680">
        <f>T13</f>
        <v/>
      </c>
      <c r="V13" s="680">
        <f>U13</f>
        <v/>
      </c>
      <c r="W13" s="680">
        <f>V13</f>
        <v/>
      </c>
      <c r="X13" s="680">
        <f>W13</f>
        <v/>
      </c>
      <c r="Y13" s="680">
        <f>X13</f>
        <v/>
      </c>
      <c r="Z13" s="680">
        <f>Y13</f>
        <v/>
      </c>
      <c r="AA13" s="680">
        <f>Z13</f>
        <v/>
      </c>
      <c r="AB13" s="680">
        <f>AA13</f>
        <v/>
      </c>
      <c r="AC13" s="680">
        <f>AB13</f>
        <v/>
      </c>
      <c r="AD13" s="681" t="n"/>
      <c r="AE13" s="681" t="n"/>
      <c r="AF13" s="680">
        <f>-Calc!Q22/12</f>
        <v/>
      </c>
      <c r="AG13" s="680">
        <f>AF13</f>
        <v/>
      </c>
      <c r="AH13" s="680">
        <f>AG13</f>
        <v/>
      </c>
      <c r="AI13" s="680">
        <f>AH13</f>
        <v/>
      </c>
      <c r="AJ13" s="680">
        <f>AI13</f>
        <v/>
      </c>
      <c r="AK13" s="680">
        <f>AJ13</f>
        <v/>
      </c>
      <c r="AL13" s="680">
        <f>AK13</f>
        <v/>
      </c>
      <c r="AM13" s="680">
        <f>AL13</f>
        <v/>
      </c>
      <c r="AN13" s="680">
        <f>AM13</f>
        <v/>
      </c>
      <c r="AO13" s="680">
        <f>AN13</f>
        <v/>
      </c>
      <c r="AP13" s="680">
        <f>AO13</f>
        <v/>
      </c>
      <c r="AQ13" s="680">
        <f>AP13</f>
        <v/>
      </c>
      <c r="AR13" s="681" t="n"/>
      <c r="AT13" s="680">
        <f>-Calc!R22/12</f>
        <v/>
      </c>
      <c r="AU13" s="680">
        <f>AT13</f>
        <v/>
      </c>
      <c r="AV13" s="680">
        <f>AU13</f>
        <v/>
      </c>
      <c r="AW13" s="680">
        <f>AV13</f>
        <v/>
      </c>
      <c r="AX13" s="680">
        <f>AW13</f>
        <v/>
      </c>
      <c r="AY13" s="680">
        <f>AX13</f>
        <v/>
      </c>
      <c r="AZ13" s="680">
        <f>AY13</f>
        <v/>
      </c>
      <c r="BA13" s="680">
        <f>AZ13</f>
        <v/>
      </c>
      <c r="BB13" s="680">
        <f>BA13</f>
        <v/>
      </c>
      <c r="BC13" s="680">
        <f>BB13</f>
        <v/>
      </c>
      <c r="BD13" s="680">
        <f>BC13</f>
        <v/>
      </c>
      <c r="BE13" s="680">
        <f>BD13</f>
        <v/>
      </c>
      <c r="BH13" s="680">
        <f>-Calc!S22/12</f>
        <v/>
      </c>
      <c r="BI13" s="680">
        <f>BH13</f>
        <v/>
      </c>
      <c r="BJ13" s="680">
        <f>BI13</f>
        <v/>
      </c>
      <c r="BK13" s="680">
        <f>BJ13</f>
        <v/>
      </c>
      <c r="BL13" s="680">
        <f>BK13</f>
        <v/>
      </c>
      <c r="BM13" s="680">
        <f>BL13</f>
        <v/>
      </c>
      <c r="BN13" s="680">
        <f>BM13</f>
        <v/>
      </c>
      <c r="BO13" s="680">
        <f>BN13</f>
        <v/>
      </c>
      <c r="BP13" s="680">
        <f>BO13</f>
        <v/>
      </c>
      <c r="BQ13" s="680">
        <f>BP13</f>
        <v/>
      </c>
      <c r="BR13" s="680">
        <f>BQ13</f>
        <v/>
      </c>
      <c r="BS13" s="680">
        <f>BR13</f>
        <v/>
      </c>
    </row>
    <row r="14">
      <c r="A14" s="676" t="inlineStr">
        <is>
          <t>Weekly wifi topups</t>
        </is>
      </c>
      <c r="C14" s="680" t="n"/>
      <c r="D14" s="680">
        <f>-Calc!C23</f>
        <v/>
      </c>
      <c r="E14" s="680">
        <f>-Calc!D23</f>
        <v/>
      </c>
      <c r="F14" s="680">
        <f>-Calc!E23</f>
        <v/>
      </c>
      <c r="G14" s="680">
        <f>-Calc!F23</f>
        <v/>
      </c>
      <c r="H14" s="680">
        <f>-Calc!G23</f>
        <v/>
      </c>
      <c r="I14" s="680">
        <f>-Calc!H23</f>
        <v/>
      </c>
      <c r="J14" s="680">
        <f>-Calc!I23</f>
        <v/>
      </c>
      <c r="K14" s="680">
        <f>-Calc!J23</f>
        <v/>
      </c>
      <c r="L14" s="680">
        <f>-Calc!K23</f>
        <v/>
      </c>
      <c r="M14" s="680">
        <f>-Calc!L23</f>
        <v/>
      </c>
      <c r="N14" s="680">
        <f>-Calc!M23</f>
        <v/>
      </c>
      <c r="O14" s="680">
        <f>-Calc!N23</f>
        <v/>
      </c>
      <c r="P14" s="680" t="n"/>
      <c r="Q14" s="680" t="n"/>
      <c r="R14" s="680">
        <f>-Calc!P23/12</f>
        <v/>
      </c>
      <c r="S14" s="680">
        <f>R14</f>
        <v/>
      </c>
      <c r="T14" s="680">
        <f>S14</f>
        <v/>
      </c>
      <c r="U14" s="680">
        <f>T14</f>
        <v/>
      </c>
      <c r="V14" s="680">
        <f>U14</f>
        <v/>
      </c>
      <c r="W14" s="680">
        <f>V14</f>
        <v/>
      </c>
      <c r="X14" s="680">
        <f>W14</f>
        <v/>
      </c>
      <c r="Y14" s="680">
        <f>X14</f>
        <v/>
      </c>
      <c r="Z14" s="680">
        <f>Y14</f>
        <v/>
      </c>
      <c r="AA14" s="680">
        <f>Z14</f>
        <v/>
      </c>
      <c r="AB14" s="680">
        <f>AA14</f>
        <v/>
      </c>
      <c r="AC14" s="680">
        <f>AB14</f>
        <v/>
      </c>
      <c r="AD14" s="681" t="n"/>
      <c r="AE14" s="681" t="n"/>
      <c r="AF14" s="680">
        <f>-Calc!Q23/12</f>
        <v/>
      </c>
      <c r="AG14" s="680">
        <f>AF14</f>
        <v/>
      </c>
      <c r="AH14" s="680">
        <f>AG14</f>
        <v/>
      </c>
      <c r="AI14" s="680">
        <f>AH14</f>
        <v/>
      </c>
      <c r="AJ14" s="680">
        <f>AI14</f>
        <v/>
      </c>
      <c r="AK14" s="680">
        <f>AJ14</f>
        <v/>
      </c>
      <c r="AL14" s="680">
        <f>AK14</f>
        <v/>
      </c>
      <c r="AM14" s="680">
        <f>AL14</f>
        <v/>
      </c>
      <c r="AN14" s="680">
        <f>AM14</f>
        <v/>
      </c>
      <c r="AO14" s="680">
        <f>AN14</f>
        <v/>
      </c>
      <c r="AP14" s="680">
        <f>AO14</f>
        <v/>
      </c>
      <c r="AQ14" s="680">
        <f>AP14</f>
        <v/>
      </c>
      <c r="AR14" s="681" t="n"/>
      <c r="AT14" s="680">
        <f>-Calc!R23/12</f>
        <v/>
      </c>
      <c r="AU14" s="680">
        <f>AT14</f>
        <v/>
      </c>
      <c r="AV14" s="680">
        <f>AU14</f>
        <v/>
      </c>
      <c r="AW14" s="680">
        <f>AV14</f>
        <v/>
      </c>
      <c r="AX14" s="680">
        <f>AW14</f>
        <v/>
      </c>
      <c r="AY14" s="680">
        <f>AX14</f>
        <v/>
      </c>
      <c r="AZ14" s="680">
        <f>AY14</f>
        <v/>
      </c>
      <c r="BA14" s="680">
        <f>AZ14</f>
        <v/>
      </c>
      <c r="BB14" s="680">
        <f>BA14</f>
        <v/>
      </c>
      <c r="BC14" s="680">
        <f>BB14</f>
        <v/>
      </c>
      <c r="BD14" s="680">
        <f>BC14</f>
        <v/>
      </c>
      <c r="BE14" s="680">
        <f>BD14</f>
        <v/>
      </c>
      <c r="BH14" s="680">
        <f>-Calc!S23/12</f>
        <v/>
      </c>
      <c r="BI14" s="680">
        <f>BH14</f>
        <v/>
      </c>
      <c r="BJ14" s="680">
        <f>BI14</f>
        <v/>
      </c>
      <c r="BK14" s="680">
        <f>BJ14</f>
        <v/>
      </c>
      <c r="BL14" s="680">
        <f>BK14</f>
        <v/>
      </c>
      <c r="BM14" s="680">
        <f>BL14</f>
        <v/>
      </c>
      <c r="BN14" s="680">
        <f>BM14</f>
        <v/>
      </c>
      <c r="BO14" s="680">
        <f>BN14</f>
        <v/>
      </c>
      <c r="BP14" s="680">
        <f>BO14</f>
        <v/>
      </c>
      <c r="BQ14" s="680">
        <f>BP14</f>
        <v/>
      </c>
      <c r="BR14" s="680">
        <f>BQ14</f>
        <v/>
      </c>
      <c r="BS14" s="680">
        <f>BR14</f>
        <v/>
      </c>
    </row>
    <row r="15">
      <c r="A15" s="676" t="inlineStr">
        <is>
          <t>Monthly wifi topups</t>
        </is>
      </c>
      <c r="C15" s="680" t="n"/>
      <c r="D15" s="680">
        <f>-Calc!C24</f>
        <v/>
      </c>
      <c r="E15" s="680">
        <f>-Calc!D24</f>
        <v/>
      </c>
      <c r="F15" s="680">
        <f>-Calc!E24</f>
        <v/>
      </c>
      <c r="G15" s="680">
        <f>-Calc!F24</f>
        <v/>
      </c>
      <c r="H15" s="680">
        <f>-Calc!G24</f>
        <v/>
      </c>
      <c r="I15" s="680">
        <f>-Calc!H24</f>
        <v/>
      </c>
      <c r="J15" s="680">
        <f>-Calc!I24</f>
        <v/>
      </c>
      <c r="K15" s="680">
        <f>-Calc!J24</f>
        <v/>
      </c>
      <c r="L15" s="680">
        <f>-Calc!K24</f>
        <v/>
      </c>
      <c r="M15" s="680">
        <f>-Calc!L24</f>
        <v/>
      </c>
      <c r="N15" s="680">
        <f>-Calc!M24</f>
        <v/>
      </c>
      <c r="O15" s="680">
        <f>-Calc!N24</f>
        <v/>
      </c>
      <c r="P15" s="680" t="n"/>
      <c r="Q15" s="680" t="n"/>
      <c r="R15" s="680">
        <f>-Calc!P24/12</f>
        <v/>
      </c>
      <c r="S15" s="680">
        <f>R15</f>
        <v/>
      </c>
      <c r="T15" s="680">
        <f>S15</f>
        <v/>
      </c>
      <c r="U15" s="680">
        <f>T15</f>
        <v/>
      </c>
      <c r="V15" s="680">
        <f>U15</f>
        <v/>
      </c>
      <c r="W15" s="680">
        <f>V15</f>
        <v/>
      </c>
      <c r="X15" s="680">
        <f>W15</f>
        <v/>
      </c>
      <c r="Y15" s="680">
        <f>X15</f>
        <v/>
      </c>
      <c r="Z15" s="680">
        <f>Y15</f>
        <v/>
      </c>
      <c r="AA15" s="680">
        <f>Z15</f>
        <v/>
      </c>
      <c r="AB15" s="680">
        <f>AA15</f>
        <v/>
      </c>
      <c r="AC15" s="680">
        <f>AB15</f>
        <v/>
      </c>
      <c r="AD15" s="681" t="n"/>
      <c r="AE15" s="681" t="n"/>
      <c r="AF15" s="680">
        <f>-Calc!Q24/12</f>
        <v/>
      </c>
      <c r="AG15" s="680">
        <f>AF15</f>
        <v/>
      </c>
      <c r="AH15" s="680">
        <f>AG15</f>
        <v/>
      </c>
      <c r="AI15" s="680">
        <f>AH15</f>
        <v/>
      </c>
      <c r="AJ15" s="680">
        <f>AI15</f>
        <v/>
      </c>
      <c r="AK15" s="680">
        <f>AJ15</f>
        <v/>
      </c>
      <c r="AL15" s="680">
        <f>AK15</f>
        <v/>
      </c>
      <c r="AM15" s="680">
        <f>AL15</f>
        <v/>
      </c>
      <c r="AN15" s="680">
        <f>AM15</f>
        <v/>
      </c>
      <c r="AO15" s="680">
        <f>AN15</f>
        <v/>
      </c>
      <c r="AP15" s="680">
        <f>AO15</f>
        <v/>
      </c>
      <c r="AQ15" s="680">
        <f>AP15</f>
        <v/>
      </c>
      <c r="AR15" s="681" t="n"/>
      <c r="AT15" s="680">
        <f>-Calc!R24/12</f>
        <v/>
      </c>
      <c r="AU15" s="680">
        <f>AT15</f>
        <v/>
      </c>
      <c r="AV15" s="680">
        <f>AU15</f>
        <v/>
      </c>
      <c r="AW15" s="680">
        <f>AV15</f>
        <v/>
      </c>
      <c r="AX15" s="680">
        <f>AW15</f>
        <v/>
      </c>
      <c r="AY15" s="680">
        <f>AX15</f>
        <v/>
      </c>
      <c r="AZ15" s="680">
        <f>AY15</f>
        <v/>
      </c>
      <c r="BA15" s="680">
        <f>AZ15</f>
        <v/>
      </c>
      <c r="BB15" s="680">
        <f>BA15</f>
        <v/>
      </c>
      <c r="BC15" s="680">
        <f>BB15</f>
        <v/>
      </c>
      <c r="BD15" s="680">
        <f>BC15</f>
        <v/>
      </c>
      <c r="BE15" s="680">
        <f>BD15</f>
        <v/>
      </c>
      <c r="BH15" s="680">
        <f>-Calc!S24/12</f>
        <v/>
      </c>
      <c r="BI15" s="680">
        <f>BH15</f>
        <v/>
      </c>
      <c r="BJ15" s="680">
        <f>BI15</f>
        <v/>
      </c>
      <c r="BK15" s="680">
        <f>BJ15</f>
        <v/>
      </c>
      <c r="BL15" s="680">
        <f>BK15</f>
        <v/>
      </c>
      <c r="BM15" s="680">
        <f>BL15</f>
        <v/>
      </c>
      <c r="BN15" s="680">
        <f>BM15</f>
        <v/>
      </c>
      <c r="BO15" s="680">
        <f>BN15</f>
        <v/>
      </c>
      <c r="BP15" s="680">
        <f>BO15</f>
        <v/>
      </c>
      <c r="BQ15" s="680">
        <f>BP15</f>
        <v/>
      </c>
      <c r="BR15" s="680">
        <f>BQ15</f>
        <v/>
      </c>
      <c r="BS15" s="680">
        <f>BR15</f>
        <v/>
      </c>
    </row>
    <row r="16">
      <c r="A16" s="676" t="inlineStr">
        <is>
          <t>Enterprise 1 (Up to 10 Employees)</t>
        </is>
      </c>
      <c r="C16" s="680" t="n"/>
      <c r="D16" s="680">
        <f>-Calc!C25</f>
        <v/>
      </c>
      <c r="E16" s="680">
        <f>-Calc!D25</f>
        <v/>
      </c>
      <c r="F16" s="680">
        <f>-Calc!E25</f>
        <v/>
      </c>
      <c r="G16" s="680">
        <f>-Calc!F25</f>
        <v/>
      </c>
      <c r="H16" s="680">
        <f>-Calc!G25</f>
        <v/>
      </c>
      <c r="I16" s="680">
        <f>-Calc!H25</f>
        <v/>
      </c>
      <c r="J16" s="680">
        <f>-Calc!I25</f>
        <v/>
      </c>
      <c r="K16" s="680">
        <f>-Calc!J25</f>
        <v/>
      </c>
      <c r="L16" s="680">
        <f>-Calc!K25</f>
        <v/>
      </c>
      <c r="M16" s="680">
        <f>-Calc!L25</f>
        <v/>
      </c>
      <c r="N16" s="680">
        <f>-Calc!M25</f>
        <v/>
      </c>
      <c r="O16" s="680">
        <f>-Calc!N25</f>
        <v/>
      </c>
      <c r="P16" s="680" t="n"/>
      <c r="Q16" s="680" t="n"/>
      <c r="R16" s="680">
        <f>-Calc!P25/12</f>
        <v/>
      </c>
      <c r="S16" s="680">
        <f>R16</f>
        <v/>
      </c>
      <c r="T16" s="680">
        <f>S16</f>
        <v/>
      </c>
      <c r="U16" s="680">
        <f>T16</f>
        <v/>
      </c>
      <c r="V16" s="680">
        <f>U16</f>
        <v/>
      </c>
      <c r="W16" s="680">
        <f>V16</f>
        <v/>
      </c>
      <c r="X16" s="680">
        <f>W16</f>
        <v/>
      </c>
      <c r="Y16" s="680">
        <f>X16</f>
        <v/>
      </c>
      <c r="Z16" s="680">
        <f>Y16</f>
        <v/>
      </c>
      <c r="AA16" s="680">
        <f>Z16</f>
        <v/>
      </c>
      <c r="AB16" s="680">
        <f>AA16</f>
        <v/>
      </c>
      <c r="AC16" s="680">
        <f>AB16</f>
        <v/>
      </c>
      <c r="AD16" s="681" t="n"/>
      <c r="AE16" s="681" t="n"/>
      <c r="AF16" s="680">
        <f>-Calc!Q25/12</f>
        <v/>
      </c>
      <c r="AG16" s="680">
        <f>AF16</f>
        <v/>
      </c>
      <c r="AH16" s="680">
        <f>AG16</f>
        <v/>
      </c>
      <c r="AI16" s="680">
        <f>AH16</f>
        <v/>
      </c>
      <c r="AJ16" s="680">
        <f>AI16</f>
        <v/>
      </c>
      <c r="AK16" s="680">
        <f>AJ16</f>
        <v/>
      </c>
      <c r="AL16" s="680">
        <f>AK16</f>
        <v/>
      </c>
      <c r="AM16" s="680">
        <f>AL16</f>
        <v/>
      </c>
      <c r="AN16" s="680">
        <f>AM16</f>
        <v/>
      </c>
      <c r="AO16" s="680">
        <f>AN16</f>
        <v/>
      </c>
      <c r="AP16" s="680">
        <f>AO16</f>
        <v/>
      </c>
      <c r="AQ16" s="680">
        <f>AP16</f>
        <v/>
      </c>
      <c r="AR16" s="681" t="n"/>
      <c r="AT16" s="680">
        <f>-Calc!R25/12</f>
        <v/>
      </c>
      <c r="AU16" s="680">
        <f>AT16</f>
        <v/>
      </c>
      <c r="AV16" s="680">
        <f>AU16</f>
        <v/>
      </c>
      <c r="AW16" s="680">
        <f>AV16</f>
        <v/>
      </c>
      <c r="AX16" s="680">
        <f>AW16</f>
        <v/>
      </c>
      <c r="AY16" s="680">
        <f>AX16</f>
        <v/>
      </c>
      <c r="AZ16" s="680">
        <f>AY16</f>
        <v/>
      </c>
      <c r="BA16" s="680">
        <f>AZ16</f>
        <v/>
      </c>
      <c r="BB16" s="680">
        <f>BA16</f>
        <v/>
      </c>
      <c r="BC16" s="680">
        <f>BB16</f>
        <v/>
      </c>
      <c r="BD16" s="680">
        <f>BC16</f>
        <v/>
      </c>
      <c r="BE16" s="680">
        <f>BD16</f>
        <v/>
      </c>
      <c r="BH16" s="680">
        <f>-Calc!S25/12</f>
        <v/>
      </c>
      <c r="BI16" s="680">
        <f>BH16</f>
        <v/>
      </c>
      <c r="BJ16" s="680">
        <f>BI16</f>
        <v/>
      </c>
      <c r="BK16" s="680">
        <f>BJ16</f>
        <v/>
      </c>
      <c r="BL16" s="680">
        <f>BK16</f>
        <v/>
      </c>
      <c r="BM16" s="680">
        <f>BL16</f>
        <v/>
      </c>
      <c r="BN16" s="680">
        <f>BM16</f>
        <v/>
      </c>
      <c r="BO16" s="680">
        <f>BN16</f>
        <v/>
      </c>
      <c r="BP16" s="680">
        <f>BO16</f>
        <v/>
      </c>
      <c r="BQ16" s="680">
        <f>BP16</f>
        <v/>
      </c>
      <c r="BR16" s="680">
        <f>BQ16</f>
        <v/>
      </c>
      <c r="BS16" s="680">
        <f>BR16</f>
        <v/>
      </c>
    </row>
    <row r="17">
      <c r="A17" s="676" t="inlineStr">
        <is>
          <t>Enterprise 2 (Up to 25 Employees)</t>
        </is>
      </c>
      <c r="C17" s="680" t="n"/>
      <c r="D17" s="680">
        <f>-Calc!C26</f>
        <v/>
      </c>
      <c r="E17" s="680">
        <f>-Calc!D26</f>
        <v/>
      </c>
      <c r="F17" s="680">
        <f>-Calc!E26</f>
        <v/>
      </c>
      <c r="G17" s="680">
        <f>-Calc!F26</f>
        <v/>
      </c>
      <c r="H17" s="680">
        <f>-Calc!G26</f>
        <v/>
      </c>
      <c r="I17" s="680">
        <f>-Calc!H26</f>
        <v/>
      </c>
      <c r="J17" s="680">
        <f>-Calc!I26</f>
        <v/>
      </c>
      <c r="K17" s="680">
        <f>-Calc!J26</f>
        <v/>
      </c>
      <c r="L17" s="680">
        <f>-Calc!K26</f>
        <v/>
      </c>
      <c r="M17" s="680">
        <f>-Calc!L26</f>
        <v/>
      </c>
      <c r="N17" s="680">
        <f>-Calc!M26</f>
        <v/>
      </c>
      <c r="O17" s="680">
        <f>-Calc!N26</f>
        <v/>
      </c>
      <c r="P17" s="680" t="n"/>
      <c r="Q17" s="680" t="n"/>
      <c r="R17" s="680">
        <f>-Calc!P26/12</f>
        <v/>
      </c>
      <c r="S17" s="680">
        <f>R17</f>
        <v/>
      </c>
      <c r="T17" s="680">
        <f>S17</f>
        <v/>
      </c>
      <c r="U17" s="680">
        <f>T17</f>
        <v/>
      </c>
      <c r="V17" s="680">
        <f>U17</f>
        <v/>
      </c>
      <c r="W17" s="680">
        <f>V17</f>
        <v/>
      </c>
      <c r="X17" s="680">
        <f>W17</f>
        <v/>
      </c>
      <c r="Y17" s="680">
        <f>X17</f>
        <v/>
      </c>
      <c r="Z17" s="680">
        <f>Y17</f>
        <v/>
      </c>
      <c r="AA17" s="680">
        <f>Z17</f>
        <v/>
      </c>
      <c r="AB17" s="680">
        <f>AA17</f>
        <v/>
      </c>
      <c r="AC17" s="680">
        <f>AB17</f>
        <v/>
      </c>
      <c r="AD17" s="681" t="n"/>
      <c r="AE17" s="681" t="n"/>
      <c r="AF17" s="680">
        <f>-Calc!Q26/12</f>
        <v/>
      </c>
      <c r="AG17" s="680">
        <f>AF17</f>
        <v/>
      </c>
      <c r="AH17" s="680">
        <f>AG17</f>
        <v/>
      </c>
      <c r="AI17" s="680">
        <f>AH17</f>
        <v/>
      </c>
      <c r="AJ17" s="680">
        <f>AI17</f>
        <v/>
      </c>
      <c r="AK17" s="680">
        <f>AJ17</f>
        <v/>
      </c>
      <c r="AL17" s="680">
        <f>AK17</f>
        <v/>
      </c>
      <c r="AM17" s="680">
        <f>AL17</f>
        <v/>
      </c>
      <c r="AN17" s="680">
        <f>AM17</f>
        <v/>
      </c>
      <c r="AO17" s="680">
        <f>AN17</f>
        <v/>
      </c>
      <c r="AP17" s="680">
        <f>AO17</f>
        <v/>
      </c>
      <c r="AQ17" s="680">
        <f>AP17</f>
        <v/>
      </c>
      <c r="AR17" s="681" t="n"/>
      <c r="AT17" s="680">
        <f>-Calc!R26/12</f>
        <v/>
      </c>
      <c r="AU17" s="680">
        <f>AT17</f>
        <v/>
      </c>
      <c r="AV17" s="680">
        <f>AU17</f>
        <v/>
      </c>
      <c r="AW17" s="680">
        <f>AV17</f>
        <v/>
      </c>
      <c r="AX17" s="680">
        <f>AW17</f>
        <v/>
      </c>
      <c r="AY17" s="680">
        <f>AX17</f>
        <v/>
      </c>
      <c r="AZ17" s="680">
        <f>AY17</f>
        <v/>
      </c>
      <c r="BA17" s="680">
        <f>AZ17</f>
        <v/>
      </c>
      <c r="BB17" s="680">
        <f>BA17</f>
        <v/>
      </c>
      <c r="BC17" s="680">
        <f>BB17</f>
        <v/>
      </c>
      <c r="BD17" s="680">
        <f>BC17</f>
        <v/>
      </c>
      <c r="BE17" s="680">
        <f>BD17</f>
        <v/>
      </c>
      <c r="BH17" s="680">
        <f>-Calc!S26/12</f>
        <v/>
      </c>
      <c r="BI17" s="680">
        <f>BH17</f>
        <v/>
      </c>
      <c r="BJ17" s="680">
        <f>BI17</f>
        <v/>
      </c>
      <c r="BK17" s="680">
        <f>BJ17</f>
        <v/>
      </c>
      <c r="BL17" s="680">
        <f>BK17</f>
        <v/>
      </c>
      <c r="BM17" s="680">
        <f>BL17</f>
        <v/>
      </c>
      <c r="BN17" s="680">
        <f>BM17</f>
        <v/>
      </c>
      <c r="BO17" s="680">
        <f>BN17</f>
        <v/>
      </c>
      <c r="BP17" s="680">
        <f>BO17</f>
        <v/>
      </c>
      <c r="BQ17" s="680">
        <f>BP17</f>
        <v/>
      </c>
      <c r="BR17" s="680">
        <f>BQ17</f>
        <v/>
      </c>
      <c r="BS17" s="680">
        <f>BR17</f>
        <v/>
      </c>
    </row>
    <row r="18">
      <c r="A18" s="676" t="inlineStr">
        <is>
          <t>Enterprise 3  (Up to 50 Employees)</t>
        </is>
      </c>
      <c r="C18" s="680" t="n"/>
      <c r="D18" s="680">
        <f>-Calc!C27</f>
        <v/>
      </c>
      <c r="E18" s="680">
        <f>-Calc!D27</f>
        <v/>
      </c>
      <c r="F18" s="680">
        <f>-Calc!E27</f>
        <v/>
      </c>
      <c r="G18" s="680">
        <f>-Calc!F27</f>
        <v/>
      </c>
      <c r="H18" s="680">
        <f>-Calc!G27</f>
        <v/>
      </c>
      <c r="I18" s="680">
        <f>-Calc!H27</f>
        <v/>
      </c>
      <c r="J18" s="680">
        <f>-Calc!I27</f>
        <v/>
      </c>
      <c r="K18" s="680">
        <f>-Calc!J27</f>
        <v/>
      </c>
      <c r="L18" s="680">
        <f>-Calc!K27</f>
        <v/>
      </c>
      <c r="M18" s="680">
        <f>-Calc!L27</f>
        <v/>
      </c>
      <c r="N18" s="680">
        <f>-Calc!M27</f>
        <v/>
      </c>
      <c r="O18" s="680">
        <f>-Calc!N27</f>
        <v/>
      </c>
      <c r="P18" s="680" t="n"/>
      <c r="Q18" s="680" t="n"/>
      <c r="R18" s="680">
        <f>-Calc!P27/12</f>
        <v/>
      </c>
      <c r="S18" s="680">
        <f>R18</f>
        <v/>
      </c>
      <c r="T18" s="680">
        <f>S18</f>
        <v/>
      </c>
      <c r="U18" s="680">
        <f>T18</f>
        <v/>
      </c>
      <c r="V18" s="680">
        <f>U18</f>
        <v/>
      </c>
      <c r="W18" s="680">
        <f>V18</f>
        <v/>
      </c>
      <c r="X18" s="680">
        <f>W18</f>
        <v/>
      </c>
      <c r="Y18" s="680">
        <f>X18</f>
        <v/>
      </c>
      <c r="Z18" s="680">
        <f>Y18</f>
        <v/>
      </c>
      <c r="AA18" s="680">
        <f>Z18</f>
        <v/>
      </c>
      <c r="AB18" s="680">
        <f>AA18</f>
        <v/>
      </c>
      <c r="AC18" s="680">
        <f>AB18</f>
        <v/>
      </c>
      <c r="AD18" s="681" t="n"/>
      <c r="AE18" s="681" t="n"/>
      <c r="AF18" s="680">
        <f>-Calc!Q27/12</f>
        <v/>
      </c>
      <c r="AG18" s="680">
        <f>AF18</f>
        <v/>
      </c>
      <c r="AH18" s="680">
        <f>AG18</f>
        <v/>
      </c>
      <c r="AI18" s="680">
        <f>AH18</f>
        <v/>
      </c>
      <c r="AJ18" s="680">
        <f>AI18</f>
        <v/>
      </c>
      <c r="AK18" s="680">
        <f>AJ18</f>
        <v/>
      </c>
      <c r="AL18" s="680">
        <f>AK18</f>
        <v/>
      </c>
      <c r="AM18" s="680">
        <f>AL18</f>
        <v/>
      </c>
      <c r="AN18" s="680">
        <f>AM18</f>
        <v/>
      </c>
      <c r="AO18" s="680">
        <f>AN18</f>
        <v/>
      </c>
      <c r="AP18" s="680">
        <f>AO18</f>
        <v/>
      </c>
      <c r="AQ18" s="680">
        <f>AP18</f>
        <v/>
      </c>
      <c r="AR18" s="681" t="n"/>
      <c r="AT18" s="680">
        <f>-Calc!R27/12</f>
        <v/>
      </c>
      <c r="AU18" s="680">
        <f>AT18</f>
        <v/>
      </c>
      <c r="AV18" s="680">
        <f>AU18</f>
        <v/>
      </c>
      <c r="AW18" s="680">
        <f>AV18</f>
        <v/>
      </c>
      <c r="AX18" s="680">
        <f>AW18</f>
        <v/>
      </c>
      <c r="AY18" s="680">
        <f>AX18</f>
        <v/>
      </c>
      <c r="AZ18" s="680">
        <f>AY18</f>
        <v/>
      </c>
      <c r="BA18" s="680">
        <f>AZ18</f>
        <v/>
      </c>
      <c r="BB18" s="680">
        <f>BA18</f>
        <v/>
      </c>
      <c r="BC18" s="680">
        <f>BB18</f>
        <v/>
      </c>
      <c r="BD18" s="680">
        <f>BC18</f>
        <v/>
      </c>
      <c r="BE18" s="680">
        <f>BD18</f>
        <v/>
      </c>
      <c r="BH18" s="680">
        <f>-Calc!S27/12</f>
        <v/>
      </c>
      <c r="BI18" s="680">
        <f>BH18</f>
        <v/>
      </c>
      <c r="BJ18" s="680">
        <f>BI18</f>
        <v/>
      </c>
      <c r="BK18" s="680">
        <f>BJ18</f>
        <v/>
      </c>
      <c r="BL18" s="680">
        <f>BK18</f>
        <v/>
      </c>
      <c r="BM18" s="680">
        <f>BL18</f>
        <v/>
      </c>
      <c r="BN18" s="680">
        <f>BM18</f>
        <v/>
      </c>
      <c r="BO18" s="680">
        <f>BN18</f>
        <v/>
      </c>
      <c r="BP18" s="680">
        <f>BO18</f>
        <v/>
      </c>
      <c r="BQ18" s="680">
        <f>BP18</f>
        <v/>
      </c>
      <c r="BR18" s="680">
        <f>BQ18</f>
        <v/>
      </c>
      <c r="BS18" s="680">
        <f>BR18</f>
        <v/>
      </c>
    </row>
    <row r="19">
      <c r="A19" s="676" t="inlineStr">
        <is>
          <t>Enterprise 4  (Up to 99 Employees)</t>
        </is>
      </c>
      <c r="C19" s="680" t="n"/>
      <c r="D19" s="680">
        <f>-Calc!C28</f>
        <v/>
      </c>
      <c r="E19" s="680">
        <f>-Calc!D28</f>
        <v/>
      </c>
      <c r="F19" s="680">
        <f>-Calc!E28</f>
        <v/>
      </c>
      <c r="G19" s="680">
        <f>-Calc!F28</f>
        <v/>
      </c>
      <c r="H19" s="680">
        <f>-Calc!G28</f>
        <v/>
      </c>
      <c r="I19" s="680">
        <f>-Calc!H28</f>
        <v/>
      </c>
      <c r="J19" s="680">
        <f>-Calc!I28</f>
        <v/>
      </c>
      <c r="K19" s="680">
        <f>-Calc!J28</f>
        <v/>
      </c>
      <c r="L19" s="680">
        <f>-Calc!K28</f>
        <v/>
      </c>
      <c r="M19" s="680">
        <f>-Calc!L28</f>
        <v/>
      </c>
      <c r="N19" s="680">
        <f>-Calc!M28</f>
        <v/>
      </c>
      <c r="O19" s="680">
        <f>-Calc!N28</f>
        <v/>
      </c>
      <c r="P19" s="680" t="n"/>
      <c r="Q19" s="680" t="n"/>
      <c r="R19" s="680">
        <f>-Calc!P28/12</f>
        <v/>
      </c>
      <c r="S19" s="680">
        <f>R19</f>
        <v/>
      </c>
      <c r="T19" s="680">
        <f>S19</f>
        <v/>
      </c>
      <c r="U19" s="680">
        <f>T19</f>
        <v/>
      </c>
      <c r="V19" s="680">
        <f>U19</f>
        <v/>
      </c>
      <c r="W19" s="680">
        <f>V19</f>
        <v/>
      </c>
      <c r="X19" s="680">
        <f>W19</f>
        <v/>
      </c>
      <c r="Y19" s="680">
        <f>X19</f>
        <v/>
      </c>
      <c r="Z19" s="680">
        <f>Y19</f>
        <v/>
      </c>
      <c r="AA19" s="680">
        <f>Z19</f>
        <v/>
      </c>
      <c r="AB19" s="680">
        <f>AA19</f>
        <v/>
      </c>
      <c r="AC19" s="680">
        <f>AB19</f>
        <v/>
      </c>
      <c r="AD19" s="681" t="n"/>
      <c r="AE19" s="681" t="n"/>
      <c r="AF19" s="680">
        <f>-Calc!Q28/12</f>
        <v/>
      </c>
      <c r="AG19" s="680">
        <f>AF19</f>
        <v/>
      </c>
      <c r="AH19" s="680">
        <f>AG19</f>
        <v/>
      </c>
      <c r="AI19" s="680">
        <f>AH19</f>
        <v/>
      </c>
      <c r="AJ19" s="680">
        <f>AI19</f>
        <v/>
      </c>
      <c r="AK19" s="680">
        <f>AJ19</f>
        <v/>
      </c>
      <c r="AL19" s="680">
        <f>AK19</f>
        <v/>
      </c>
      <c r="AM19" s="680">
        <f>AL19</f>
        <v/>
      </c>
      <c r="AN19" s="680">
        <f>AM19</f>
        <v/>
      </c>
      <c r="AO19" s="680">
        <f>AN19</f>
        <v/>
      </c>
      <c r="AP19" s="680">
        <f>AO19</f>
        <v/>
      </c>
      <c r="AQ19" s="680">
        <f>AP19</f>
        <v/>
      </c>
      <c r="AR19" s="681" t="n"/>
      <c r="AT19" s="680">
        <f>-Calc!R28/12</f>
        <v/>
      </c>
      <c r="AU19" s="680">
        <f>AT19</f>
        <v/>
      </c>
      <c r="AV19" s="680">
        <f>AU19</f>
        <v/>
      </c>
      <c r="AW19" s="680">
        <f>AV19</f>
        <v/>
      </c>
      <c r="AX19" s="680">
        <f>AW19</f>
        <v/>
      </c>
      <c r="AY19" s="680">
        <f>AX19</f>
        <v/>
      </c>
      <c r="AZ19" s="680">
        <f>AY19</f>
        <v/>
      </c>
      <c r="BA19" s="680">
        <f>AZ19</f>
        <v/>
      </c>
      <c r="BB19" s="680">
        <f>BA19</f>
        <v/>
      </c>
      <c r="BC19" s="680">
        <f>BB19</f>
        <v/>
      </c>
      <c r="BD19" s="680">
        <f>BC19</f>
        <v/>
      </c>
      <c r="BE19" s="680">
        <f>BD19</f>
        <v/>
      </c>
      <c r="BH19" s="680">
        <f>-Calc!S28/12</f>
        <v/>
      </c>
      <c r="BI19" s="680">
        <f>BH19</f>
        <v/>
      </c>
      <c r="BJ19" s="680">
        <f>BI19</f>
        <v/>
      </c>
      <c r="BK19" s="680">
        <f>BJ19</f>
        <v/>
      </c>
      <c r="BL19" s="680">
        <f>BK19</f>
        <v/>
      </c>
      <c r="BM19" s="680">
        <f>BL19</f>
        <v/>
      </c>
      <c r="BN19" s="680">
        <f>BM19</f>
        <v/>
      </c>
      <c r="BO19" s="680">
        <f>BN19</f>
        <v/>
      </c>
      <c r="BP19" s="680">
        <f>BO19</f>
        <v/>
      </c>
      <c r="BQ19" s="680">
        <f>BP19</f>
        <v/>
      </c>
      <c r="BR19" s="680">
        <f>BQ19</f>
        <v/>
      </c>
      <c r="BS19" s="680">
        <f>BR19</f>
        <v/>
      </c>
    </row>
    <row r="20">
      <c r="A20" s="676">
        <f>Calc!A12</f>
        <v/>
      </c>
      <c r="C20" s="680" t="n"/>
      <c r="D20" s="680">
        <f>-Calc!C29</f>
        <v/>
      </c>
      <c r="E20" s="680">
        <f>-Calc!D29</f>
        <v/>
      </c>
      <c r="F20" s="680">
        <f>-Calc!E29</f>
        <v/>
      </c>
      <c r="G20" s="680">
        <f>-Calc!F29</f>
        <v/>
      </c>
      <c r="H20" s="680">
        <f>-Calc!G29</f>
        <v/>
      </c>
      <c r="I20" s="680">
        <f>-Calc!H29</f>
        <v/>
      </c>
      <c r="J20" s="680">
        <f>-Calc!I29</f>
        <v/>
      </c>
      <c r="K20" s="680">
        <f>-Calc!J29</f>
        <v/>
      </c>
      <c r="L20" s="680">
        <f>-Calc!K29</f>
        <v/>
      </c>
      <c r="M20" s="680">
        <f>-Calc!L29</f>
        <v/>
      </c>
      <c r="N20" s="680">
        <f>-Calc!M29</f>
        <v/>
      </c>
      <c r="O20" s="680">
        <f>-Calc!N29</f>
        <v/>
      </c>
      <c r="P20" s="680" t="n"/>
      <c r="Q20" s="680" t="n"/>
      <c r="R20" s="680">
        <f>-Calc!P29/12</f>
        <v/>
      </c>
      <c r="S20" s="680">
        <f>R20</f>
        <v/>
      </c>
      <c r="T20" s="680">
        <f>S20</f>
        <v/>
      </c>
      <c r="U20" s="680">
        <f>T20</f>
        <v/>
      </c>
      <c r="V20" s="680">
        <f>U20</f>
        <v/>
      </c>
      <c r="W20" s="680">
        <f>V20</f>
        <v/>
      </c>
      <c r="X20" s="680">
        <f>W20</f>
        <v/>
      </c>
      <c r="Y20" s="680">
        <f>X20</f>
        <v/>
      </c>
      <c r="Z20" s="680">
        <f>Y20</f>
        <v/>
      </c>
      <c r="AA20" s="680">
        <f>Z20</f>
        <v/>
      </c>
      <c r="AB20" s="680">
        <f>AA20</f>
        <v/>
      </c>
      <c r="AC20" s="680">
        <f>AB20</f>
        <v/>
      </c>
      <c r="AD20" s="681" t="n"/>
      <c r="AE20" s="681" t="n"/>
      <c r="AF20" s="680">
        <f>-Calc!Q29/12</f>
        <v/>
      </c>
      <c r="AG20" s="680">
        <f>AF20</f>
        <v/>
      </c>
      <c r="AH20" s="680">
        <f>AG20</f>
        <v/>
      </c>
      <c r="AI20" s="680">
        <f>AH20</f>
        <v/>
      </c>
      <c r="AJ20" s="680">
        <f>AI20</f>
        <v/>
      </c>
      <c r="AK20" s="680">
        <f>AJ20</f>
        <v/>
      </c>
      <c r="AL20" s="680">
        <f>AK20</f>
        <v/>
      </c>
      <c r="AM20" s="680">
        <f>AL20</f>
        <v/>
      </c>
      <c r="AN20" s="680">
        <f>AM20</f>
        <v/>
      </c>
      <c r="AO20" s="680">
        <f>AN20</f>
        <v/>
      </c>
      <c r="AP20" s="680">
        <f>AO20</f>
        <v/>
      </c>
      <c r="AQ20" s="680">
        <f>AP20</f>
        <v/>
      </c>
      <c r="AR20" s="681" t="n"/>
      <c r="AT20" s="680">
        <f>-Calc!R29/12</f>
        <v/>
      </c>
      <c r="AU20" s="680">
        <f>AT20</f>
        <v/>
      </c>
      <c r="AV20" s="680">
        <f>AU20</f>
        <v/>
      </c>
      <c r="AW20" s="680">
        <f>AV20</f>
        <v/>
      </c>
      <c r="AX20" s="680">
        <f>AW20</f>
        <v/>
      </c>
      <c r="AY20" s="680">
        <f>AX20</f>
        <v/>
      </c>
      <c r="AZ20" s="680">
        <f>AY20</f>
        <v/>
      </c>
      <c r="BA20" s="680">
        <f>AZ20</f>
        <v/>
      </c>
      <c r="BB20" s="680">
        <f>BA20</f>
        <v/>
      </c>
      <c r="BC20" s="680">
        <f>BB20</f>
        <v/>
      </c>
      <c r="BD20" s="680">
        <f>BC20</f>
        <v/>
      </c>
      <c r="BE20" s="680">
        <f>BD20</f>
        <v/>
      </c>
      <c r="BH20" s="680">
        <f>-Calc!S29/12</f>
        <v/>
      </c>
      <c r="BI20" s="680">
        <f>BH20</f>
        <v/>
      </c>
      <c r="BJ20" s="680">
        <f>BI20</f>
        <v/>
      </c>
      <c r="BK20" s="680">
        <f>BJ20</f>
        <v/>
      </c>
      <c r="BL20" s="680">
        <f>BK20</f>
        <v/>
      </c>
      <c r="BM20" s="680">
        <f>BL20</f>
        <v/>
      </c>
      <c r="BN20" s="680">
        <f>BM20</f>
        <v/>
      </c>
      <c r="BO20" s="680">
        <f>BN20</f>
        <v/>
      </c>
      <c r="BP20" s="680">
        <f>BO20</f>
        <v/>
      </c>
      <c r="BQ20" s="680">
        <f>BP20</f>
        <v/>
      </c>
      <c r="BR20" s="680">
        <f>BQ20</f>
        <v/>
      </c>
      <c r="BS20" s="680">
        <f>BR20</f>
        <v/>
      </c>
    </row>
    <row r="21">
      <c r="A21" s="676">
        <f>Calc!A13</f>
        <v/>
      </c>
      <c r="C21" s="680" t="n"/>
      <c r="D21" s="680">
        <f>-Calc!C30</f>
        <v/>
      </c>
      <c r="E21" s="680">
        <f>-Calc!D30</f>
        <v/>
      </c>
      <c r="F21" s="680">
        <f>-Calc!E30</f>
        <v/>
      </c>
      <c r="G21" s="680">
        <f>-Calc!F30</f>
        <v/>
      </c>
      <c r="H21" s="680">
        <f>-Calc!G30</f>
        <v/>
      </c>
      <c r="I21" s="680">
        <f>-Calc!H30</f>
        <v/>
      </c>
      <c r="J21" s="680">
        <f>-Calc!I30</f>
        <v/>
      </c>
      <c r="K21" s="680">
        <f>-Calc!J30</f>
        <v/>
      </c>
      <c r="L21" s="680">
        <f>-Calc!K30</f>
        <v/>
      </c>
      <c r="M21" s="680">
        <f>-Calc!L30</f>
        <v/>
      </c>
      <c r="N21" s="680">
        <f>-Calc!M30</f>
        <v/>
      </c>
      <c r="O21" s="680">
        <f>-Calc!N30</f>
        <v/>
      </c>
      <c r="P21" s="680" t="n"/>
      <c r="Q21" s="680" t="n"/>
      <c r="R21" s="680">
        <f>-Calc!P30/12</f>
        <v/>
      </c>
      <c r="S21" s="680">
        <f>R21</f>
        <v/>
      </c>
      <c r="T21" s="680">
        <f>S21</f>
        <v/>
      </c>
      <c r="U21" s="680">
        <f>T21</f>
        <v/>
      </c>
      <c r="V21" s="680">
        <f>U21</f>
        <v/>
      </c>
      <c r="W21" s="680">
        <f>V21</f>
        <v/>
      </c>
      <c r="X21" s="680">
        <f>W21</f>
        <v/>
      </c>
      <c r="Y21" s="680">
        <f>X21</f>
        <v/>
      </c>
      <c r="Z21" s="680">
        <f>Y21</f>
        <v/>
      </c>
      <c r="AA21" s="680">
        <f>Z21</f>
        <v/>
      </c>
      <c r="AB21" s="680">
        <f>AA21</f>
        <v/>
      </c>
      <c r="AC21" s="680">
        <f>AB21</f>
        <v/>
      </c>
      <c r="AD21" s="681" t="n"/>
      <c r="AE21" s="681" t="n"/>
      <c r="AF21" s="680">
        <f>-Calc!Q30/12</f>
        <v/>
      </c>
      <c r="AG21" s="680">
        <f>AF21</f>
        <v/>
      </c>
      <c r="AH21" s="680">
        <f>AG21</f>
        <v/>
      </c>
      <c r="AI21" s="680">
        <f>AH21</f>
        <v/>
      </c>
      <c r="AJ21" s="680">
        <f>AI21</f>
        <v/>
      </c>
      <c r="AK21" s="680">
        <f>AJ21</f>
        <v/>
      </c>
      <c r="AL21" s="680">
        <f>AK21</f>
        <v/>
      </c>
      <c r="AM21" s="680">
        <f>AL21</f>
        <v/>
      </c>
      <c r="AN21" s="680">
        <f>AM21</f>
        <v/>
      </c>
      <c r="AO21" s="680">
        <f>AN21</f>
        <v/>
      </c>
      <c r="AP21" s="680">
        <f>AO21</f>
        <v/>
      </c>
      <c r="AQ21" s="680">
        <f>AP21</f>
        <v/>
      </c>
      <c r="AR21" s="681" t="n"/>
      <c r="AT21" s="680">
        <f>-Calc!R30/12</f>
        <v/>
      </c>
      <c r="AU21" s="680">
        <f>AT21</f>
        <v/>
      </c>
      <c r="AV21" s="680">
        <f>AU21</f>
        <v/>
      </c>
      <c r="AW21" s="680">
        <f>AV21</f>
        <v/>
      </c>
      <c r="AX21" s="680">
        <f>AW21</f>
        <v/>
      </c>
      <c r="AY21" s="680">
        <f>AX21</f>
        <v/>
      </c>
      <c r="AZ21" s="680">
        <f>AY21</f>
        <v/>
      </c>
      <c r="BA21" s="680">
        <f>AZ21</f>
        <v/>
      </c>
      <c r="BB21" s="680">
        <f>BA21</f>
        <v/>
      </c>
      <c r="BC21" s="680">
        <f>BB21</f>
        <v/>
      </c>
      <c r="BD21" s="680">
        <f>BC21</f>
        <v/>
      </c>
      <c r="BE21" s="680">
        <f>BD21</f>
        <v/>
      </c>
      <c r="BH21" s="680">
        <f>-Calc!S30/12</f>
        <v/>
      </c>
      <c r="BI21" s="680">
        <f>BH21</f>
        <v/>
      </c>
      <c r="BJ21" s="680">
        <f>BI21</f>
        <v/>
      </c>
      <c r="BK21" s="680">
        <f>BJ21</f>
        <v/>
      </c>
      <c r="BL21" s="680">
        <f>BK21</f>
        <v/>
      </c>
      <c r="BM21" s="680">
        <f>BL21</f>
        <v/>
      </c>
      <c r="BN21" s="680">
        <f>BM21</f>
        <v/>
      </c>
      <c r="BO21" s="680">
        <f>BN21</f>
        <v/>
      </c>
      <c r="BP21" s="680">
        <f>BO21</f>
        <v/>
      </c>
      <c r="BQ21" s="680">
        <f>BP21</f>
        <v/>
      </c>
      <c r="BR21" s="680">
        <f>BQ21</f>
        <v/>
      </c>
      <c r="BS21" s="680">
        <f>BR21</f>
        <v/>
      </c>
    </row>
    <row r="22">
      <c r="A22" s="676">
        <f>Calc!A14</f>
        <v/>
      </c>
      <c r="C22" s="680" t="n"/>
      <c r="D22" s="680">
        <f>-Calc!C31</f>
        <v/>
      </c>
      <c r="E22" s="680">
        <f>-Calc!D31</f>
        <v/>
      </c>
      <c r="F22" s="680">
        <f>-Calc!E31</f>
        <v/>
      </c>
      <c r="G22" s="680">
        <f>-Calc!F31</f>
        <v/>
      </c>
      <c r="H22" s="680">
        <f>-Calc!G31</f>
        <v/>
      </c>
      <c r="I22" s="680">
        <f>-Calc!H31</f>
        <v/>
      </c>
      <c r="J22" s="680">
        <f>-Calc!I31</f>
        <v/>
      </c>
      <c r="K22" s="680">
        <f>-Calc!J31</f>
        <v/>
      </c>
      <c r="L22" s="680">
        <f>-Calc!K31</f>
        <v/>
      </c>
      <c r="M22" s="680">
        <f>-Calc!L31</f>
        <v/>
      </c>
      <c r="N22" s="680">
        <f>-Calc!M31</f>
        <v/>
      </c>
      <c r="O22" s="680">
        <f>-Calc!N31</f>
        <v/>
      </c>
      <c r="P22" s="680" t="n"/>
      <c r="Q22" s="680" t="n"/>
      <c r="R22" s="680">
        <f>-Calc!P31/12</f>
        <v/>
      </c>
      <c r="S22" s="680">
        <f>R22</f>
        <v/>
      </c>
      <c r="T22" s="680">
        <f>S22</f>
        <v/>
      </c>
      <c r="U22" s="680">
        <f>T22</f>
        <v/>
      </c>
      <c r="V22" s="680">
        <f>U22</f>
        <v/>
      </c>
      <c r="W22" s="680">
        <f>V22</f>
        <v/>
      </c>
      <c r="X22" s="680">
        <f>W22</f>
        <v/>
      </c>
      <c r="Y22" s="680">
        <f>X22</f>
        <v/>
      </c>
      <c r="Z22" s="680">
        <f>Y22</f>
        <v/>
      </c>
      <c r="AA22" s="680">
        <f>Z22</f>
        <v/>
      </c>
      <c r="AB22" s="680">
        <f>AA22</f>
        <v/>
      </c>
      <c r="AC22" s="680">
        <f>AB22</f>
        <v/>
      </c>
      <c r="AD22" s="681" t="n"/>
      <c r="AE22" s="681" t="n"/>
      <c r="AF22" s="680">
        <f>-Calc!Q31/12</f>
        <v/>
      </c>
      <c r="AG22" s="680">
        <f>AF22</f>
        <v/>
      </c>
      <c r="AH22" s="680">
        <f>AG22</f>
        <v/>
      </c>
      <c r="AI22" s="680">
        <f>AH22</f>
        <v/>
      </c>
      <c r="AJ22" s="680">
        <f>AI22</f>
        <v/>
      </c>
      <c r="AK22" s="680">
        <f>AJ22</f>
        <v/>
      </c>
      <c r="AL22" s="680">
        <f>AK22</f>
        <v/>
      </c>
      <c r="AM22" s="680">
        <f>AL22</f>
        <v/>
      </c>
      <c r="AN22" s="680">
        <f>AM22</f>
        <v/>
      </c>
      <c r="AO22" s="680">
        <f>AN22</f>
        <v/>
      </c>
      <c r="AP22" s="680">
        <f>AO22</f>
        <v/>
      </c>
      <c r="AQ22" s="680">
        <f>AP22</f>
        <v/>
      </c>
      <c r="AR22" s="681" t="n"/>
      <c r="AT22" s="680">
        <f>-Calc!R31/12</f>
        <v/>
      </c>
      <c r="AU22" s="680">
        <f>AT22</f>
        <v/>
      </c>
      <c r="AV22" s="680">
        <f>AU22</f>
        <v/>
      </c>
      <c r="AW22" s="680">
        <f>AV22</f>
        <v/>
      </c>
      <c r="AX22" s="680">
        <f>AW22</f>
        <v/>
      </c>
      <c r="AY22" s="680">
        <f>AX22</f>
        <v/>
      </c>
      <c r="AZ22" s="680">
        <f>AY22</f>
        <v/>
      </c>
      <c r="BA22" s="680">
        <f>AZ22</f>
        <v/>
      </c>
      <c r="BB22" s="680">
        <f>BA22</f>
        <v/>
      </c>
      <c r="BC22" s="680">
        <f>BB22</f>
        <v/>
      </c>
      <c r="BD22" s="680">
        <f>BC22</f>
        <v/>
      </c>
      <c r="BE22" s="680">
        <f>BD22</f>
        <v/>
      </c>
      <c r="BH22" s="680">
        <f>-Calc!S31/12</f>
        <v/>
      </c>
      <c r="BI22" s="680">
        <f>BH22</f>
        <v/>
      </c>
      <c r="BJ22" s="680">
        <f>BI22</f>
        <v/>
      </c>
      <c r="BK22" s="680">
        <f>BJ22</f>
        <v/>
      </c>
      <c r="BL22" s="680">
        <f>BK22</f>
        <v/>
      </c>
      <c r="BM22" s="680">
        <f>BL22</f>
        <v/>
      </c>
      <c r="BN22" s="680">
        <f>BM22</f>
        <v/>
      </c>
      <c r="BO22" s="680">
        <f>BN22</f>
        <v/>
      </c>
      <c r="BP22" s="680">
        <f>BO22</f>
        <v/>
      </c>
      <c r="BQ22" s="680">
        <f>BP22</f>
        <v/>
      </c>
      <c r="BR22" s="680">
        <f>BQ22</f>
        <v/>
      </c>
      <c r="BS22" s="680">
        <f>BR22</f>
        <v/>
      </c>
    </row>
    <row r="23">
      <c r="A23" s="676">
        <f>Calc!A15</f>
        <v/>
      </c>
      <c r="C23" s="680" t="n"/>
      <c r="D23" s="680">
        <f>-Calc!C32</f>
        <v/>
      </c>
      <c r="E23" s="680">
        <f>-Calc!D32</f>
        <v/>
      </c>
      <c r="F23" s="680">
        <f>-Calc!E32</f>
        <v/>
      </c>
      <c r="G23" s="680">
        <f>-Calc!F32</f>
        <v/>
      </c>
      <c r="H23" s="680">
        <f>-Calc!G32</f>
        <v/>
      </c>
      <c r="I23" s="680">
        <f>-Calc!H32</f>
        <v/>
      </c>
      <c r="J23" s="680">
        <f>-Calc!I32</f>
        <v/>
      </c>
      <c r="K23" s="680">
        <f>-Calc!J32</f>
        <v/>
      </c>
      <c r="L23" s="680">
        <f>-Calc!K32</f>
        <v/>
      </c>
      <c r="M23" s="680">
        <f>-Calc!L32</f>
        <v/>
      </c>
      <c r="N23" s="680">
        <f>-Calc!M32</f>
        <v/>
      </c>
      <c r="O23" s="680">
        <f>-Calc!N32</f>
        <v/>
      </c>
      <c r="P23" s="680" t="n"/>
      <c r="Q23" s="680" t="n"/>
      <c r="R23" s="680">
        <f>-Calc!P32/12</f>
        <v/>
      </c>
      <c r="S23" s="680">
        <f>R23</f>
        <v/>
      </c>
      <c r="T23" s="680">
        <f>S23</f>
        <v/>
      </c>
      <c r="U23" s="680">
        <f>T23</f>
        <v/>
      </c>
      <c r="V23" s="680">
        <f>U23</f>
        <v/>
      </c>
      <c r="W23" s="680">
        <f>V23</f>
        <v/>
      </c>
      <c r="X23" s="680">
        <f>W23</f>
        <v/>
      </c>
      <c r="Y23" s="680">
        <f>X23</f>
        <v/>
      </c>
      <c r="Z23" s="680">
        <f>Y23</f>
        <v/>
      </c>
      <c r="AA23" s="680">
        <f>Z23</f>
        <v/>
      </c>
      <c r="AB23" s="680">
        <f>AA23</f>
        <v/>
      </c>
      <c r="AC23" s="680">
        <f>AB23</f>
        <v/>
      </c>
      <c r="AD23" s="681" t="n"/>
      <c r="AE23" s="681" t="n"/>
      <c r="AF23" s="680">
        <f>-Calc!Q32/12</f>
        <v/>
      </c>
      <c r="AG23" s="680">
        <f>AF23</f>
        <v/>
      </c>
      <c r="AH23" s="680">
        <f>AG23</f>
        <v/>
      </c>
      <c r="AI23" s="680">
        <f>AH23</f>
        <v/>
      </c>
      <c r="AJ23" s="680">
        <f>AI23</f>
        <v/>
      </c>
      <c r="AK23" s="680">
        <f>AJ23</f>
        <v/>
      </c>
      <c r="AL23" s="680">
        <f>AK23</f>
        <v/>
      </c>
      <c r="AM23" s="680">
        <f>AL23</f>
        <v/>
      </c>
      <c r="AN23" s="680">
        <f>AM23</f>
        <v/>
      </c>
      <c r="AO23" s="680">
        <f>AN23</f>
        <v/>
      </c>
      <c r="AP23" s="680">
        <f>AO23</f>
        <v/>
      </c>
      <c r="AQ23" s="680">
        <f>AP23</f>
        <v/>
      </c>
      <c r="AR23" s="681" t="n"/>
      <c r="AT23" s="680">
        <f>-Calc!R32/12</f>
        <v/>
      </c>
      <c r="AU23" s="680">
        <f>AT23</f>
        <v/>
      </c>
      <c r="AV23" s="680">
        <f>AU23</f>
        <v/>
      </c>
      <c r="AW23" s="680">
        <f>AV23</f>
        <v/>
      </c>
      <c r="AX23" s="680">
        <f>AW23</f>
        <v/>
      </c>
      <c r="AY23" s="680">
        <f>AX23</f>
        <v/>
      </c>
      <c r="AZ23" s="680">
        <f>AY23</f>
        <v/>
      </c>
      <c r="BA23" s="680">
        <f>AZ23</f>
        <v/>
      </c>
      <c r="BB23" s="680">
        <f>BA23</f>
        <v/>
      </c>
      <c r="BC23" s="680">
        <f>BB23</f>
        <v/>
      </c>
      <c r="BD23" s="680">
        <f>BC23</f>
        <v/>
      </c>
      <c r="BE23" s="680">
        <f>BD23</f>
        <v/>
      </c>
      <c r="BH23" s="680">
        <f>-Calc!S32/12</f>
        <v/>
      </c>
      <c r="BI23" s="680">
        <f>BH23</f>
        <v/>
      </c>
      <c r="BJ23" s="680">
        <f>BI23</f>
        <v/>
      </c>
      <c r="BK23" s="680">
        <f>BJ23</f>
        <v/>
      </c>
      <c r="BL23" s="680">
        <f>BK23</f>
        <v/>
      </c>
      <c r="BM23" s="680">
        <f>BL23</f>
        <v/>
      </c>
      <c r="BN23" s="680">
        <f>BM23</f>
        <v/>
      </c>
      <c r="BO23" s="680">
        <f>BN23</f>
        <v/>
      </c>
      <c r="BP23" s="680">
        <f>BO23</f>
        <v/>
      </c>
      <c r="BQ23" s="680">
        <f>BP23</f>
        <v/>
      </c>
      <c r="BR23" s="680">
        <f>BQ23</f>
        <v/>
      </c>
      <c r="BS23" s="680">
        <f>BR23</f>
        <v/>
      </c>
    </row>
    <row r="24">
      <c r="A24" s="676">
        <f>Calc!A16</f>
        <v/>
      </c>
      <c r="C24" s="680" t="n"/>
      <c r="D24" s="680">
        <f>-Calc!C33</f>
        <v/>
      </c>
      <c r="E24" s="680">
        <f>-Calc!D33</f>
        <v/>
      </c>
      <c r="F24" s="680">
        <f>-Calc!E33</f>
        <v/>
      </c>
      <c r="G24" s="680">
        <f>-Calc!F33</f>
        <v/>
      </c>
      <c r="H24" s="680">
        <f>-Calc!G33</f>
        <v/>
      </c>
      <c r="I24" s="680">
        <f>-Calc!H33</f>
        <v/>
      </c>
      <c r="J24" s="680">
        <f>-Calc!I33</f>
        <v/>
      </c>
      <c r="K24" s="680">
        <f>-Calc!J33</f>
        <v/>
      </c>
      <c r="L24" s="680">
        <f>-Calc!K33</f>
        <v/>
      </c>
      <c r="M24" s="680">
        <f>-Calc!L33</f>
        <v/>
      </c>
      <c r="N24" s="680">
        <f>-Calc!M33</f>
        <v/>
      </c>
      <c r="O24" s="680">
        <f>-Calc!N33</f>
        <v/>
      </c>
      <c r="P24" s="680" t="n"/>
      <c r="Q24" s="680" t="n"/>
      <c r="R24" s="680">
        <f>-Calc!P33/12</f>
        <v/>
      </c>
      <c r="S24" s="680">
        <f>R24</f>
        <v/>
      </c>
      <c r="T24" s="680">
        <f>S24</f>
        <v/>
      </c>
      <c r="U24" s="680">
        <f>T24</f>
        <v/>
      </c>
      <c r="V24" s="680">
        <f>U24</f>
        <v/>
      </c>
      <c r="W24" s="680">
        <f>V24</f>
        <v/>
      </c>
      <c r="X24" s="680">
        <f>W24</f>
        <v/>
      </c>
      <c r="Y24" s="680">
        <f>X24</f>
        <v/>
      </c>
      <c r="Z24" s="680">
        <f>Y24</f>
        <v/>
      </c>
      <c r="AA24" s="680">
        <f>Z24</f>
        <v/>
      </c>
      <c r="AB24" s="680">
        <f>AA24</f>
        <v/>
      </c>
      <c r="AC24" s="680">
        <f>AB24</f>
        <v/>
      </c>
      <c r="AD24" s="681" t="n"/>
      <c r="AE24" s="681" t="n"/>
      <c r="AF24" s="680">
        <f>-Calc!Q33/12</f>
        <v/>
      </c>
      <c r="AG24" s="680">
        <f>AF24</f>
        <v/>
      </c>
      <c r="AH24" s="680">
        <f>AG24</f>
        <v/>
      </c>
      <c r="AI24" s="680">
        <f>AH24</f>
        <v/>
      </c>
      <c r="AJ24" s="680">
        <f>AI24</f>
        <v/>
      </c>
      <c r="AK24" s="680">
        <f>AJ24</f>
        <v/>
      </c>
      <c r="AL24" s="680">
        <f>AK24</f>
        <v/>
      </c>
      <c r="AM24" s="680">
        <f>AL24</f>
        <v/>
      </c>
      <c r="AN24" s="680">
        <f>AM24</f>
        <v/>
      </c>
      <c r="AO24" s="680">
        <f>AN24</f>
        <v/>
      </c>
      <c r="AP24" s="680">
        <f>AO24</f>
        <v/>
      </c>
      <c r="AQ24" s="680">
        <f>AP24</f>
        <v/>
      </c>
      <c r="AR24" s="681" t="n"/>
      <c r="AT24" s="680">
        <f>-Calc!R33/12</f>
        <v/>
      </c>
      <c r="AU24" s="680">
        <f>AT24</f>
        <v/>
      </c>
      <c r="AV24" s="680">
        <f>AU24</f>
        <v/>
      </c>
      <c r="AW24" s="680">
        <f>AV24</f>
        <v/>
      </c>
      <c r="AX24" s="680">
        <f>AW24</f>
        <v/>
      </c>
      <c r="AY24" s="680">
        <f>AX24</f>
        <v/>
      </c>
      <c r="AZ24" s="680">
        <f>AY24</f>
        <v/>
      </c>
      <c r="BA24" s="680">
        <f>AZ24</f>
        <v/>
      </c>
      <c r="BB24" s="680">
        <f>BA24</f>
        <v/>
      </c>
      <c r="BC24" s="680">
        <f>BB24</f>
        <v/>
      </c>
      <c r="BD24" s="680">
        <f>BC24</f>
        <v/>
      </c>
      <c r="BE24" s="680">
        <f>BD24</f>
        <v/>
      </c>
      <c r="BH24" s="680">
        <f>-Calc!S33/12</f>
        <v/>
      </c>
      <c r="BI24" s="680">
        <f>BH24</f>
        <v/>
      </c>
      <c r="BJ24" s="680">
        <f>BI24</f>
        <v/>
      </c>
      <c r="BK24" s="680">
        <f>BJ24</f>
        <v/>
      </c>
      <c r="BL24" s="680">
        <f>BK24</f>
        <v/>
      </c>
      <c r="BM24" s="680">
        <f>BL24</f>
        <v/>
      </c>
      <c r="BN24" s="680">
        <f>BM24</f>
        <v/>
      </c>
      <c r="BO24" s="680">
        <f>BN24</f>
        <v/>
      </c>
      <c r="BP24" s="680">
        <f>BO24</f>
        <v/>
      </c>
      <c r="BQ24" s="680">
        <f>BP24</f>
        <v/>
      </c>
      <c r="BR24" s="680">
        <f>BQ24</f>
        <v/>
      </c>
      <c r="BS24" s="680">
        <f>BR24</f>
        <v/>
      </c>
    </row>
    <row r="25">
      <c r="A25" s="676">
        <f>Calc!A17</f>
        <v/>
      </c>
      <c r="C25" s="680" t="n"/>
      <c r="D25" s="680">
        <f>-Calc!C34</f>
        <v/>
      </c>
      <c r="E25" s="680">
        <f>-Calc!D34</f>
        <v/>
      </c>
      <c r="F25" s="680">
        <f>-Calc!E34</f>
        <v/>
      </c>
      <c r="G25" s="680">
        <f>-Calc!F34</f>
        <v/>
      </c>
      <c r="H25" s="680">
        <f>-Calc!G34</f>
        <v/>
      </c>
      <c r="I25" s="680">
        <f>-Calc!H34</f>
        <v/>
      </c>
      <c r="J25" s="680">
        <f>-Calc!I34</f>
        <v/>
      </c>
      <c r="K25" s="680">
        <f>-Calc!J34</f>
        <v/>
      </c>
      <c r="L25" s="680">
        <f>-Calc!K34</f>
        <v/>
      </c>
      <c r="M25" s="680">
        <f>-Calc!L34</f>
        <v/>
      </c>
      <c r="N25" s="680">
        <f>-Calc!M34</f>
        <v/>
      </c>
      <c r="O25" s="680">
        <f>-Calc!N34</f>
        <v/>
      </c>
      <c r="P25" s="680" t="n"/>
      <c r="Q25" s="680" t="n"/>
      <c r="R25" s="680">
        <f>-Calc!P34/12</f>
        <v/>
      </c>
      <c r="S25" s="680">
        <f>R25</f>
        <v/>
      </c>
      <c r="T25" s="680">
        <f>S25</f>
        <v/>
      </c>
      <c r="U25" s="680">
        <f>T25</f>
        <v/>
      </c>
      <c r="V25" s="680">
        <f>U25</f>
        <v/>
      </c>
      <c r="W25" s="680">
        <f>V25</f>
        <v/>
      </c>
      <c r="X25" s="680">
        <f>W25</f>
        <v/>
      </c>
      <c r="Y25" s="680">
        <f>X25</f>
        <v/>
      </c>
      <c r="Z25" s="680">
        <f>Y25</f>
        <v/>
      </c>
      <c r="AA25" s="680">
        <f>Z25</f>
        <v/>
      </c>
      <c r="AB25" s="680">
        <f>AA25</f>
        <v/>
      </c>
      <c r="AC25" s="680">
        <f>AB25</f>
        <v/>
      </c>
      <c r="AD25" s="681" t="n"/>
      <c r="AE25" s="681" t="n"/>
      <c r="AF25" s="680">
        <f>-Calc!Q34/12</f>
        <v/>
      </c>
      <c r="AG25" s="680">
        <f>AF25</f>
        <v/>
      </c>
      <c r="AH25" s="680">
        <f>AG25</f>
        <v/>
      </c>
      <c r="AI25" s="680">
        <f>AH25</f>
        <v/>
      </c>
      <c r="AJ25" s="680">
        <f>AI25</f>
        <v/>
      </c>
      <c r="AK25" s="680">
        <f>AJ25</f>
        <v/>
      </c>
      <c r="AL25" s="680">
        <f>AK25</f>
        <v/>
      </c>
      <c r="AM25" s="680">
        <f>AL25</f>
        <v/>
      </c>
      <c r="AN25" s="680">
        <f>AM25</f>
        <v/>
      </c>
      <c r="AO25" s="680">
        <f>AN25</f>
        <v/>
      </c>
      <c r="AP25" s="680">
        <f>AO25</f>
        <v/>
      </c>
      <c r="AQ25" s="680">
        <f>AP25</f>
        <v/>
      </c>
      <c r="AR25" s="681" t="n"/>
      <c r="AT25" s="680">
        <f>-Calc!R34/12</f>
        <v/>
      </c>
      <c r="AU25" s="680">
        <f>AT25</f>
        <v/>
      </c>
      <c r="AV25" s="680">
        <f>AU25</f>
        <v/>
      </c>
      <c r="AW25" s="680">
        <f>AV25</f>
        <v/>
      </c>
      <c r="AX25" s="680">
        <f>AW25</f>
        <v/>
      </c>
      <c r="AY25" s="680">
        <f>AX25</f>
        <v/>
      </c>
      <c r="AZ25" s="680">
        <f>AY25</f>
        <v/>
      </c>
      <c r="BA25" s="680">
        <f>AZ25</f>
        <v/>
      </c>
      <c r="BB25" s="680">
        <f>BA25</f>
        <v/>
      </c>
      <c r="BC25" s="680">
        <f>BB25</f>
        <v/>
      </c>
      <c r="BD25" s="680">
        <f>BC25</f>
        <v/>
      </c>
      <c r="BE25" s="680">
        <f>BD25</f>
        <v/>
      </c>
      <c r="BH25" s="680">
        <f>-Calc!S34/12</f>
        <v/>
      </c>
      <c r="BI25" s="680">
        <f>BH25</f>
        <v/>
      </c>
      <c r="BJ25" s="680">
        <f>BI25</f>
        <v/>
      </c>
      <c r="BK25" s="680">
        <f>BJ25</f>
        <v/>
      </c>
      <c r="BL25" s="680">
        <f>BK25</f>
        <v/>
      </c>
      <c r="BM25" s="680">
        <f>BL25</f>
        <v/>
      </c>
      <c r="BN25" s="680">
        <f>BM25</f>
        <v/>
      </c>
      <c r="BO25" s="680">
        <f>BN25</f>
        <v/>
      </c>
      <c r="BP25" s="680">
        <f>BO25</f>
        <v/>
      </c>
      <c r="BQ25" s="680">
        <f>BP25</f>
        <v/>
      </c>
      <c r="BR25" s="680">
        <f>BQ25</f>
        <v/>
      </c>
      <c r="BS25" s="680">
        <f>BR25</f>
        <v/>
      </c>
    </row>
    <row r="26">
      <c r="A26" s="676" t="inlineStr">
        <is>
          <t>Cash in hand and at bank</t>
        </is>
      </c>
      <c r="C26" s="680" t="n"/>
      <c r="D26" s="680">
        <f>-SUM(D13:D25)</f>
        <v/>
      </c>
      <c r="E26" s="680">
        <f>-SUM(E13:E25)</f>
        <v/>
      </c>
      <c r="F26" s="680">
        <f>-SUM(F13:F25)</f>
        <v/>
      </c>
      <c r="G26" s="680">
        <f>-SUM(G13:G25)</f>
        <v/>
      </c>
      <c r="H26" s="680">
        <f>-SUM(H13:H25)</f>
        <v/>
      </c>
      <c r="I26" s="680">
        <f>-SUM(I13:I25)</f>
        <v/>
      </c>
      <c r="J26" s="680">
        <f>-SUM(J13:J25)</f>
        <v/>
      </c>
      <c r="K26" s="680">
        <f>-SUM(K13:K25)</f>
        <v/>
      </c>
      <c r="L26" s="680">
        <f>-SUM(L13:L25)</f>
        <v/>
      </c>
      <c r="M26" s="680">
        <f>-SUM(M13:M25)</f>
        <v/>
      </c>
      <c r="N26" s="680">
        <f>-SUM(N13:N25)</f>
        <v/>
      </c>
      <c r="O26" s="680">
        <f>-SUM(O13:O25)</f>
        <v/>
      </c>
      <c r="P26" s="680" t="n"/>
      <c r="Q26" s="680" t="n"/>
      <c r="R26" s="680">
        <f>-SUM(R13:R25)</f>
        <v/>
      </c>
      <c r="S26" s="680">
        <f>-SUM(S13:S25)</f>
        <v/>
      </c>
      <c r="T26" s="680">
        <f>-SUM(T13:T25)</f>
        <v/>
      </c>
      <c r="U26" s="680">
        <f>-SUM(U13:U25)</f>
        <v/>
      </c>
      <c r="V26" s="680">
        <f>-SUM(V13:V25)</f>
        <v/>
      </c>
      <c r="W26" s="680">
        <f>-SUM(W13:W25)</f>
        <v/>
      </c>
      <c r="X26" s="680">
        <f>-SUM(X13:X25)</f>
        <v/>
      </c>
      <c r="Y26" s="680">
        <f>-SUM(Y13:Y25)</f>
        <v/>
      </c>
      <c r="Z26" s="680">
        <f>-SUM(Z13:Z25)</f>
        <v/>
      </c>
      <c r="AA26" s="680">
        <f>-SUM(AA13:AA25)</f>
        <v/>
      </c>
      <c r="AB26" s="680">
        <f>-SUM(AB13:AB25)</f>
        <v/>
      </c>
      <c r="AC26" s="680">
        <f>-SUM(AC13:AC25)</f>
        <v/>
      </c>
      <c r="AD26" s="681" t="n"/>
      <c r="AE26" s="681" t="n"/>
      <c r="AF26" s="680">
        <f>-SUM(AF13:AF25)</f>
        <v/>
      </c>
      <c r="AG26" s="680">
        <f>-SUM(AG13:AG25)</f>
        <v/>
      </c>
      <c r="AH26" s="680">
        <f>-SUM(AH13:AH25)</f>
        <v/>
      </c>
      <c r="AI26" s="680">
        <f>-SUM(AI13:AI25)</f>
        <v/>
      </c>
      <c r="AJ26" s="680">
        <f>-SUM(AJ13:AJ25)</f>
        <v/>
      </c>
      <c r="AK26" s="680">
        <f>-SUM(AK13:AK25)</f>
        <v/>
      </c>
      <c r="AL26" s="680">
        <f>-SUM(AL13:AL25)</f>
        <v/>
      </c>
      <c r="AM26" s="680">
        <f>-SUM(AM13:AM25)</f>
        <v/>
      </c>
      <c r="AN26" s="680">
        <f>-SUM(AN13:AN25)</f>
        <v/>
      </c>
      <c r="AO26" s="680">
        <f>-SUM(AO13:AO25)</f>
        <v/>
      </c>
      <c r="AP26" s="680">
        <f>-SUM(AP13:AP25)</f>
        <v/>
      </c>
      <c r="AQ26" s="680">
        <f>-SUM(AQ13:AQ25)</f>
        <v/>
      </c>
      <c r="AR26" s="681" t="n"/>
      <c r="AT26" s="680">
        <f>-SUM(AT13:AT25)</f>
        <v/>
      </c>
      <c r="AU26" s="680">
        <f>-SUM(AU13:AU25)</f>
        <v/>
      </c>
      <c r="AV26" s="680">
        <f>-SUM(AV13:AV25)</f>
        <v/>
      </c>
      <c r="AW26" s="680">
        <f>-SUM(AW13:AW25)</f>
        <v/>
      </c>
      <c r="AX26" s="680">
        <f>-SUM(AX13:AX25)</f>
        <v/>
      </c>
      <c r="AY26" s="680">
        <f>-SUM(AY13:AY25)</f>
        <v/>
      </c>
      <c r="AZ26" s="680">
        <f>-SUM(AZ13:AZ25)</f>
        <v/>
      </c>
      <c r="BA26" s="680">
        <f>-SUM(BA13:BA25)</f>
        <v/>
      </c>
      <c r="BB26" s="680">
        <f>-SUM(BB13:BB25)</f>
        <v/>
      </c>
      <c r="BC26" s="680">
        <f>-SUM(BC13:BC25)</f>
        <v/>
      </c>
      <c r="BD26" s="680">
        <f>-SUM(BD13:BD25)</f>
        <v/>
      </c>
      <c r="BE26" s="680">
        <f>-SUM(BE13:BE25)</f>
        <v/>
      </c>
      <c r="BH26" s="680">
        <f>-SUM(BH13:BH25)</f>
        <v/>
      </c>
      <c r="BI26" s="680">
        <f>-SUM(BI13:BI25)</f>
        <v/>
      </c>
      <c r="BJ26" s="680">
        <f>-SUM(BJ13:BJ25)</f>
        <v/>
      </c>
      <c r="BK26" s="680">
        <f>-SUM(BK13:BK25)</f>
        <v/>
      </c>
      <c r="BL26" s="680">
        <f>-SUM(BL13:BL25)</f>
        <v/>
      </c>
      <c r="BM26" s="680">
        <f>-SUM(BM13:BM25)</f>
        <v/>
      </c>
      <c r="BN26" s="680">
        <f>-SUM(BN13:BN25)</f>
        <v/>
      </c>
      <c r="BO26" s="680">
        <f>-SUM(BO13:BO25)</f>
        <v/>
      </c>
      <c r="BP26" s="680">
        <f>-SUM(BP13:BP25)</f>
        <v/>
      </c>
      <c r="BQ26" s="680">
        <f>-SUM(BQ13:BQ25)</f>
        <v/>
      </c>
      <c r="BR26" s="680">
        <f>-SUM(BR13:BR25)</f>
        <v/>
      </c>
      <c r="BS26" s="680">
        <f>-SUM(BS13:BS25)</f>
        <v/>
      </c>
    </row>
    <row r="27">
      <c r="A27" s="676" t="n">
        <v>0</v>
      </c>
      <c r="C27" s="680" t="n"/>
      <c r="D27" s="680" t="n">
        <v>0</v>
      </c>
      <c r="E27" s="680" t="n">
        <v>0</v>
      </c>
      <c r="F27" s="680" t="n">
        <v>0</v>
      </c>
      <c r="G27" s="680" t="n">
        <v>0</v>
      </c>
      <c r="H27" s="680" t="n">
        <v>0</v>
      </c>
      <c r="I27" s="680" t="n">
        <v>0</v>
      </c>
      <c r="J27" s="680" t="n">
        <v>0</v>
      </c>
      <c r="K27" s="680" t="n">
        <v>0</v>
      </c>
      <c r="L27" s="680" t="n">
        <v>0</v>
      </c>
      <c r="M27" s="680" t="n">
        <v>0</v>
      </c>
      <c r="N27" s="680" t="n">
        <v>0</v>
      </c>
      <c r="O27" s="680" t="n">
        <v>0</v>
      </c>
      <c r="P27" s="680" t="n"/>
      <c r="Q27" s="680" t="n"/>
      <c r="R27" s="681" t="n"/>
      <c r="S27" s="681" t="n"/>
      <c r="T27" s="681" t="n"/>
      <c r="U27" s="681" t="n"/>
      <c r="V27" s="681" t="n"/>
      <c r="W27" s="681" t="n"/>
      <c r="X27" s="681" t="n"/>
      <c r="Y27" s="681" t="n"/>
      <c r="Z27" s="681" t="n"/>
      <c r="AA27" s="681" t="n"/>
      <c r="AB27" s="681" t="n"/>
      <c r="AC27" s="681" t="n"/>
      <c r="AD27" s="681" t="n"/>
      <c r="AE27" s="681" t="n"/>
      <c r="AF27" s="681" t="n"/>
      <c r="AG27" s="681" t="n"/>
      <c r="AH27" s="681" t="n"/>
      <c r="AI27" s="681" t="n"/>
      <c r="AJ27" s="681" t="n"/>
      <c r="AK27" s="681" t="n"/>
      <c r="AL27" s="681" t="n"/>
      <c r="AM27" s="681" t="n"/>
      <c r="AN27" s="681" t="n"/>
      <c r="AO27" s="681" t="n"/>
      <c r="AP27" s="681" t="n"/>
      <c r="AQ27" s="681" t="n"/>
      <c r="AR27" s="681" t="n"/>
      <c r="AT27" s="681" t="n"/>
      <c r="AU27" s="681" t="n"/>
      <c r="AV27" s="681" t="n"/>
      <c r="AW27" s="681" t="n"/>
      <c r="AX27" s="681" t="n"/>
      <c r="AY27" s="681" t="n"/>
      <c r="AZ27" s="681" t="n"/>
      <c r="BA27" s="681" t="n"/>
      <c r="BB27" s="681" t="n"/>
      <c r="BC27" s="681" t="n"/>
      <c r="BD27" s="681" t="n"/>
      <c r="BE27" s="681" t="n"/>
      <c r="BH27" s="681" t="n"/>
      <c r="BI27" s="681" t="n"/>
      <c r="BJ27" s="681" t="n"/>
      <c r="BK27" s="681" t="n"/>
      <c r="BL27" s="681" t="n"/>
      <c r="BM27" s="681" t="n"/>
      <c r="BN27" s="681" t="n"/>
      <c r="BO27" s="681" t="n"/>
      <c r="BP27" s="681" t="n"/>
      <c r="BQ27" s="681" t="n"/>
      <c r="BR27" s="681" t="n"/>
      <c r="BS27" s="681" t="n"/>
    </row>
    <row r="28">
      <c r="A28" s="676" t="inlineStr">
        <is>
          <t>Airtime Vouchers</t>
        </is>
      </c>
      <c r="C28" s="680" t="n"/>
      <c r="D28" s="680">
        <f>Calc!C39</f>
        <v/>
      </c>
      <c r="E28" s="680">
        <f>Calc!D39</f>
        <v/>
      </c>
      <c r="F28" s="680">
        <f>Calc!E39</f>
        <v/>
      </c>
      <c r="G28" s="680">
        <f>Calc!F39</f>
        <v/>
      </c>
      <c r="H28" s="680">
        <f>Calc!G39</f>
        <v/>
      </c>
      <c r="I28" s="680">
        <f>Calc!H39</f>
        <v/>
      </c>
      <c r="J28" s="680">
        <f>Calc!I39</f>
        <v/>
      </c>
      <c r="K28" s="680">
        <f>Calc!J39</f>
        <v/>
      </c>
      <c r="L28" s="680">
        <f>Calc!K39</f>
        <v/>
      </c>
      <c r="M28" s="680">
        <f>Calc!L39</f>
        <v/>
      </c>
      <c r="N28" s="680">
        <f>Calc!M39</f>
        <v/>
      </c>
      <c r="O28" s="680">
        <f>Calc!N39</f>
        <v/>
      </c>
      <c r="P28" s="680" t="n"/>
      <c r="Q28" s="680" t="n"/>
      <c r="R28" s="680">
        <f>Calc!P39/12</f>
        <v/>
      </c>
      <c r="S28" s="680">
        <f>R28</f>
        <v/>
      </c>
      <c r="T28" s="680">
        <f>S28</f>
        <v/>
      </c>
      <c r="U28" s="680">
        <f>T28</f>
        <v/>
      </c>
      <c r="V28" s="680">
        <f>U28</f>
        <v/>
      </c>
      <c r="W28" s="680">
        <f>V28</f>
        <v/>
      </c>
      <c r="X28" s="680">
        <f>W28</f>
        <v/>
      </c>
      <c r="Y28" s="680">
        <f>X28</f>
        <v/>
      </c>
      <c r="Z28" s="680">
        <f>Y28</f>
        <v/>
      </c>
      <c r="AA28" s="680">
        <f>Z28</f>
        <v/>
      </c>
      <c r="AB28" s="680">
        <f>AA28</f>
        <v/>
      </c>
      <c r="AC28" s="680">
        <f>AB28</f>
        <v/>
      </c>
      <c r="AD28" s="681" t="n"/>
      <c r="AE28" s="681" t="n"/>
      <c r="AF28" s="680">
        <f>Calc!Q39/12</f>
        <v/>
      </c>
      <c r="AG28" s="680">
        <f>AF28</f>
        <v/>
      </c>
      <c r="AH28" s="680">
        <f>AG28</f>
        <v/>
      </c>
      <c r="AI28" s="680">
        <f>AH28</f>
        <v/>
      </c>
      <c r="AJ28" s="680">
        <f>AI28</f>
        <v/>
      </c>
      <c r="AK28" s="680">
        <f>AJ28</f>
        <v/>
      </c>
      <c r="AL28" s="680">
        <f>AK28</f>
        <v/>
      </c>
      <c r="AM28" s="680">
        <f>AL28</f>
        <v/>
      </c>
      <c r="AN28" s="680">
        <f>AM28</f>
        <v/>
      </c>
      <c r="AO28" s="680">
        <f>AN28</f>
        <v/>
      </c>
      <c r="AP28" s="680">
        <f>AO28</f>
        <v/>
      </c>
      <c r="AQ28" s="680">
        <f>AP28</f>
        <v/>
      </c>
      <c r="AR28" s="681" t="n"/>
      <c r="AT28" s="680">
        <f>Calc!R39/12</f>
        <v/>
      </c>
      <c r="AU28" s="680">
        <f>AT28</f>
        <v/>
      </c>
      <c r="AV28" s="680">
        <f>AU28</f>
        <v/>
      </c>
      <c r="AW28" s="680">
        <f>AV28</f>
        <v/>
      </c>
      <c r="AX28" s="680">
        <f>AW28</f>
        <v/>
      </c>
      <c r="AY28" s="680">
        <f>AX28</f>
        <v/>
      </c>
      <c r="AZ28" s="680">
        <f>AY28</f>
        <v/>
      </c>
      <c r="BA28" s="680">
        <f>AZ28</f>
        <v/>
      </c>
      <c r="BB28" s="680">
        <f>BA28</f>
        <v/>
      </c>
      <c r="BC28" s="680">
        <f>BB28</f>
        <v/>
      </c>
      <c r="BD28" s="680">
        <f>BC28</f>
        <v/>
      </c>
      <c r="BE28" s="680">
        <f>BD28</f>
        <v/>
      </c>
      <c r="BH28" s="680">
        <f>Calc!S39/12</f>
        <v/>
      </c>
      <c r="BI28" s="680">
        <f>BH28</f>
        <v/>
      </c>
      <c r="BJ28" s="680">
        <f>BI28</f>
        <v/>
      </c>
      <c r="BK28" s="680">
        <f>BJ28</f>
        <v/>
      </c>
      <c r="BL28" s="680">
        <f>BK28</f>
        <v/>
      </c>
      <c r="BM28" s="680">
        <f>BL28</f>
        <v/>
      </c>
      <c r="BN28" s="680">
        <f>BM28</f>
        <v/>
      </c>
      <c r="BO28" s="680">
        <f>BN28</f>
        <v/>
      </c>
      <c r="BP28" s="680">
        <f>BO28</f>
        <v/>
      </c>
      <c r="BQ28" s="680">
        <f>BP28</f>
        <v/>
      </c>
      <c r="BR28" s="680">
        <f>BQ28</f>
        <v/>
      </c>
      <c r="BS28" s="680">
        <f>BR28</f>
        <v/>
      </c>
    </row>
    <row r="29">
      <c r="A29" s="676" t="inlineStr">
        <is>
          <t>Kiosk Staff</t>
        </is>
      </c>
      <c r="C29" s="680" t="n"/>
      <c r="D29" s="680">
        <f>Calc!C40</f>
        <v/>
      </c>
      <c r="E29" s="680">
        <f>Calc!D40</f>
        <v/>
      </c>
      <c r="F29" s="680">
        <f>Calc!E40</f>
        <v/>
      </c>
      <c r="G29" s="680">
        <f>Calc!F40</f>
        <v/>
      </c>
      <c r="H29" s="680">
        <f>Calc!G40</f>
        <v/>
      </c>
      <c r="I29" s="680">
        <f>Calc!H40</f>
        <v/>
      </c>
      <c r="J29" s="680">
        <f>Calc!I40</f>
        <v/>
      </c>
      <c r="K29" s="680">
        <f>Calc!J40</f>
        <v/>
      </c>
      <c r="L29" s="680">
        <f>Calc!K40</f>
        <v/>
      </c>
      <c r="M29" s="680">
        <f>Calc!L40</f>
        <v/>
      </c>
      <c r="N29" s="680">
        <f>Calc!M40</f>
        <v/>
      </c>
      <c r="O29" s="680">
        <f>Calc!N40</f>
        <v/>
      </c>
      <c r="P29" s="680" t="n"/>
      <c r="Q29" s="680" t="n"/>
      <c r="R29" s="680">
        <f>Calc!P40/12</f>
        <v/>
      </c>
      <c r="S29" s="680">
        <f>R29</f>
        <v/>
      </c>
      <c r="T29" s="680">
        <f>S29</f>
        <v/>
      </c>
      <c r="U29" s="680">
        <f>T29</f>
        <v/>
      </c>
      <c r="V29" s="680">
        <f>U29</f>
        <v/>
      </c>
      <c r="W29" s="680">
        <f>V29</f>
        <v/>
      </c>
      <c r="X29" s="680">
        <f>W29</f>
        <v/>
      </c>
      <c r="Y29" s="680">
        <f>X29</f>
        <v/>
      </c>
      <c r="Z29" s="680">
        <f>Y29</f>
        <v/>
      </c>
      <c r="AA29" s="680">
        <f>Z29</f>
        <v/>
      </c>
      <c r="AB29" s="680">
        <f>AA29</f>
        <v/>
      </c>
      <c r="AC29" s="680">
        <f>AB29</f>
        <v/>
      </c>
      <c r="AD29" s="681" t="n"/>
      <c r="AE29" s="681" t="n"/>
      <c r="AF29" s="680">
        <f>Calc!Q40/12</f>
        <v/>
      </c>
      <c r="AG29" s="680">
        <f>AF29</f>
        <v/>
      </c>
      <c r="AH29" s="680">
        <f>AG29</f>
        <v/>
      </c>
      <c r="AI29" s="680">
        <f>AH29</f>
        <v/>
      </c>
      <c r="AJ29" s="680">
        <f>AI29</f>
        <v/>
      </c>
      <c r="AK29" s="680">
        <f>AJ29</f>
        <v/>
      </c>
      <c r="AL29" s="680">
        <f>AK29</f>
        <v/>
      </c>
      <c r="AM29" s="680">
        <f>AL29</f>
        <v/>
      </c>
      <c r="AN29" s="680">
        <f>AM29</f>
        <v/>
      </c>
      <c r="AO29" s="680">
        <f>AN29</f>
        <v/>
      </c>
      <c r="AP29" s="680">
        <f>AO29</f>
        <v/>
      </c>
      <c r="AQ29" s="680">
        <f>AP29</f>
        <v/>
      </c>
      <c r="AR29" s="681" t="n"/>
      <c r="AT29" s="680">
        <f>Calc!R40/12</f>
        <v/>
      </c>
      <c r="AU29" s="680">
        <f>AT29</f>
        <v/>
      </c>
      <c r="AV29" s="680">
        <f>AU29</f>
        <v/>
      </c>
      <c r="AW29" s="680">
        <f>AV29</f>
        <v/>
      </c>
      <c r="AX29" s="680">
        <f>AW29</f>
        <v/>
      </c>
      <c r="AY29" s="680">
        <f>AX29</f>
        <v/>
      </c>
      <c r="AZ29" s="680">
        <f>AY29</f>
        <v/>
      </c>
      <c r="BA29" s="680">
        <f>AZ29</f>
        <v/>
      </c>
      <c r="BB29" s="680">
        <f>BA29</f>
        <v/>
      </c>
      <c r="BC29" s="680">
        <f>BB29</f>
        <v/>
      </c>
      <c r="BD29" s="680">
        <f>BC29</f>
        <v/>
      </c>
      <c r="BE29" s="680">
        <f>BD29</f>
        <v/>
      </c>
      <c r="BH29" s="680">
        <f>Calc!S40/12</f>
        <v/>
      </c>
      <c r="BI29" s="680">
        <f>BH29</f>
        <v/>
      </c>
      <c r="BJ29" s="680">
        <f>BI29</f>
        <v/>
      </c>
      <c r="BK29" s="680">
        <f>BJ29</f>
        <v/>
      </c>
      <c r="BL29" s="680">
        <f>BK29</f>
        <v/>
      </c>
      <c r="BM29" s="680">
        <f>BL29</f>
        <v/>
      </c>
      <c r="BN29" s="680">
        <f>BM29</f>
        <v/>
      </c>
      <c r="BO29" s="680">
        <f>BN29</f>
        <v/>
      </c>
      <c r="BP29" s="680">
        <f>BO29</f>
        <v/>
      </c>
      <c r="BQ29" s="680">
        <f>BP29</f>
        <v/>
      </c>
      <c r="BR29" s="680">
        <f>BQ29</f>
        <v/>
      </c>
      <c r="BS29" s="680">
        <f>BR29</f>
        <v/>
      </c>
    </row>
    <row r="30">
      <c r="A30" s="676" t="inlineStr">
        <is>
          <t>Customer Service</t>
        </is>
      </c>
      <c r="C30" s="680" t="n"/>
      <c r="D30" s="680">
        <f>Calc!C41</f>
        <v/>
      </c>
      <c r="E30" s="680">
        <f>Calc!D41</f>
        <v/>
      </c>
      <c r="F30" s="680">
        <f>Calc!E41</f>
        <v/>
      </c>
      <c r="G30" s="680">
        <f>Calc!F41</f>
        <v/>
      </c>
      <c r="H30" s="680">
        <f>Calc!G41</f>
        <v/>
      </c>
      <c r="I30" s="680">
        <f>Calc!H41</f>
        <v/>
      </c>
      <c r="J30" s="680">
        <f>Calc!I41</f>
        <v/>
      </c>
      <c r="K30" s="680">
        <f>Calc!J41</f>
        <v/>
      </c>
      <c r="L30" s="680">
        <f>Calc!K41</f>
        <v/>
      </c>
      <c r="M30" s="680">
        <f>Calc!L41</f>
        <v/>
      </c>
      <c r="N30" s="680">
        <f>Calc!M41</f>
        <v/>
      </c>
      <c r="O30" s="680">
        <f>Calc!N41</f>
        <v/>
      </c>
      <c r="P30" s="680" t="n"/>
      <c r="Q30" s="680" t="n"/>
      <c r="R30" s="680">
        <f>Calc!P41/12</f>
        <v/>
      </c>
      <c r="S30" s="680">
        <f>R30</f>
        <v/>
      </c>
      <c r="T30" s="680">
        <f>S30</f>
        <v/>
      </c>
      <c r="U30" s="680">
        <f>T30</f>
        <v/>
      </c>
      <c r="V30" s="680">
        <f>U30</f>
        <v/>
      </c>
      <c r="W30" s="680">
        <f>V30</f>
        <v/>
      </c>
      <c r="X30" s="680">
        <f>W30</f>
        <v/>
      </c>
      <c r="Y30" s="680">
        <f>X30</f>
        <v/>
      </c>
      <c r="Z30" s="680">
        <f>Y30</f>
        <v/>
      </c>
      <c r="AA30" s="680">
        <f>Z30</f>
        <v/>
      </c>
      <c r="AB30" s="680">
        <f>AA30</f>
        <v/>
      </c>
      <c r="AC30" s="680">
        <f>AB30</f>
        <v/>
      </c>
      <c r="AD30" s="681" t="n"/>
      <c r="AE30" s="681" t="n"/>
      <c r="AF30" s="680">
        <f>Calc!Q41/12</f>
        <v/>
      </c>
      <c r="AG30" s="680">
        <f>AF30</f>
        <v/>
      </c>
      <c r="AH30" s="680">
        <f>AG30</f>
        <v/>
      </c>
      <c r="AI30" s="680">
        <f>AH30</f>
        <v/>
      </c>
      <c r="AJ30" s="680">
        <f>AI30</f>
        <v/>
      </c>
      <c r="AK30" s="680">
        <f>AJ30</f>
        <v/>
      </c>
      <c r="AL30" s="680">
        <f>AK30</f>
        <v/>
      </c>
      <c r="AM30" s="680">
        <f>AL30</f>
        <v/>
      </c>
      <c r="AN30" s="680">
        <f>AM30</f>
        <v/>
      </c>
      <c r="AO30" s="680">
        <f>AN30</f>
        <v/>
      </c>
      <c r="AP30" s="680">
        <f>AO30</f>
        <v/>
      </c>
      <c r="AQ30" s="680">
        <f>AP30</f>
        <v/>
      </c>
      <c r="AR30" s="681" t="n"/>
      <c r="AT30" s="680">
        <f>Calc!R41/12</f>
        <v/>
      </c>
      <c r="AU30" s="680">
        <f>AT30</f>
        <v/>
      </c>
      <c r="AV30" s="680">
        <f>AU30</f>
        <v/>
      </c>
      <c r="AW30" s="680">
        <f>AV30</f>
        <v/>
      </c>
      <c r="AX30" s="680">
        <f>AW30</f>
        <v/>
      </c>
      <c r="AY30" s="680">
        <f>AX30</f>
        <v/>
      </c>
      <c r="AZ30" s="680">
        <f>AY30</f>
        <v/>
      </c>
      <c r="BA30" s="680">
        <f>AZ30</f>
        <v/>
      </c>
      <c r="BB30" s="680">
        <f>BA30</f>
        <v/>
      </c>
      <c r="BC30" s="680">
        <f>BB30</f>
        <v/>
      </c>
      <c r="BD30" s="680">
        <f>BC30</f>
        <v/>
      </c>
      <c r="BE30" s="680">
        <f>BD30</f>
        <v/>
      </c>
      <c r="BH30" s="680">
        <f>Calc!S41/12</f>
        <v/>
      </c>
      <c r="BI30" s="680">
        <f>BH30</f>
        <v/>
      </c>
      <c r="BJ30" s="680">
        <f>BI30</f>
        <v/>
      </c>
      <c r="BK30" s="680">
        <f>BJ30</f>
        <v/>
      </c>
      <c r="BL30" s="680">
        <f>BK30</f>
        <v/>
      </c>
      <c r="BM30" s="680">
        <f>BL30</f>
        <v/>
      </c>
      <c r="BN30" s="680">
        <f>BM30</f>
        <v/>
      </c>
      <c r="BO30" s="680">
        <f>BN30</f>
        <v/>
      </c>
      <c r="BP30" s="680">
        <f>BO30</f>
        <v/>
      </c>
      <c r="BQ30" s="680">
        <f>BP30</f>
        <v/>
      </c>
      <c r="BR30" s="680">
        <f>BQ30</f>
        <v/>
      </c>
      <c r="BS30" s="680">
        <f>BR30</f>
        <v/>
      </c>
    </row>
    <row r="31">
      <c r="A31" s="676" t="inlineStr">
        <is>
          <t>Cash in hand and at bank</t>
        </is>
      </c>
      <c r="C31" s="680" t="n"/>
      <c r="D31" s="680">
        <f>-SUM(D28:D30)</f>
        <v/>
      </c>
      <c r="E31" s="680">
        <f>-SUM(E28:E30)</f>
        <v/>
      </c>
      <c r="F31" s="680">
        <f>-SUM(F28:F30)</f>
        <v/>
      </c>
      <c r="G31" s="680">
        <f>-SUM(G28:G30)</f>
        <v/>
      </c>
      <c r="H31" s="680">
        <f>-SUM(H28:H30)</f>
        <v/>
      </c>
      <c r="I31" s="680">
        <f>-SUM(I28:I30)</f>
        <v/>
      </c>
      <c r="J31" s="680">
        <f>-SUM(J28:J30)</f>
        <v/>
      </c>
      <c r="K31" s="680">
        <f>-SUM(K28:K30)</f>
        <v/>
      </c>
      <c r="L31" s="680">
        <f>-SUM(L28:L30)</f>
        <v/>
      </c>
      <c r="M31" s="680">
        <f>-SUM(M28:M30)</f>
        <v/>
      </c>
      <c r="N31" s="680">
        <f>-SUM(N28:N30)</f>
        <v/>
      </c>
      <c r="O31" s="680">
        <f>-SUM(O28:O30)</f>
        <v/>
      </c>
      <c r="P31" s="680" t="n"/>
      <c r="Q31" s="680" t="n"/>
      <c r="R31" s="680">
        <f>-SUM(R28:R30)</f>
        <v/>
      </c>
      <c r="S31" s="680">
        <f>-SUM(S28:S30)</f>
        <v/>
      </c>
      <c r="T31" s="680">
        <f>-SUM(T28:T30)</f>
        <v/>
      </c>
      <c r="U31" s="680">
        <f>-SUM(U28:U30)</f>
        <v/>
      </c>
      <c r="V31" s="680">
        <f>-SUM(V28:V30)</f>
        <v/>
      </c>
      <c r="W31" s="680">
        <f>-SUM(W28:W30)</f>
        <v/>
      </c>
      <c r="X31" s="680">
        <f>-SUM(X28:X30)</f>
        <v/>
      </c>
      <c r="Y31" s="680">
        <f>-SUM(Y28:Y30)</f>
        <v/>
      </c>
      <c r="Z31" s="680">
        <f>-SUM(Z28:Z30)</f>
        <v/>
      </c>
      <c r="AA31" s="680">
        <f>-SUM(AA28:AA30)</f>
        <v/>
      </c>
      <c r="AB31" s="680">
        <f>-SUM(AB28:AB30)</f>
        <v/>
      </c>
      <c r="AC31" s="680">
        <f>-SUM(AC28:AC30)</f>
        <v/>
      </c>
      <c r="AD31" s="681" t="n"/>
      <c r="AE31" s="681" t="n"/>
      <c r="AF31" s="680">
        <f>-SUM(AF28:AF30)</f>
        <v/>
      </c>
      <c r="AG31" s="680">
        <f>-SUM(AG28:AG30)</f>
        <v/>
      </c>
      <c r="AH31" s="680">
        <f>-SUM(AH28:AH30)</f>
        <v/>
      </c>
      <c r="AI31" s="680">
        <f>-SUM(AI28:AI30)</f>
        <v/>
      </c>
      <c r="AJ31" s="680">
        <f>-SUM(AJ28:AJ30)</f>
        <v/>
      </c>
      <c r="AK31" s="680">
        <f>-SUM(AK28:AK30)</f>
        <v/>
      </c>
      <c r="AL31" s="680">
        <f>-SUM(AL28:AL30)</f>
        <v/>
      </c>
      <c r="AM31" s="680">
        <f>-SUM(AM28:AM30)</f>
        <v/>
      </c>
      <c r="AN31" s="680">
        <f>-SUM(AN28:AN30)</f>
        <v/>
      </c>
      <c r="AO31" s="680">
        <f>-SUM(AO28:AO30)</f>
        <v/>
      </c>
      <c r="AP31" s="680">
        <f>-SUM(AP28:AP30)</f>
        <v/>
      </c>
      <c r="AQ31" s="680">
        <f>-SUM(AQ28:AQ30)</f>
        <v/>
      </c>
      <c r="AR31" s="681" t="n"/>
      <c r="AT31" s="680">
        <f>-SUM(AT28:AT30)</f>
        <v/>
      </c>
      <c r="AU31" s="680">
        <f>-SUM(AU28:AU30)</f>
        <v/>
      </c>
      <c r="AV31" s="680">
        <f>-SUM(AV28:AV30)</f>
        <v/>
      </c>
      <c r="AW31" s="680">
        <f>-SUM(AW28:AW30)</f>
        <v/>
      </c>
      <c r="AX31" s="680">
        <f>-SUM(AX28:AX30)</f>
        <v/>
      </c>
      <c r="AY31" s="680">
        <f>-SUM(AY28:AY30)</f>
        <v/>
      </c>
      <c r="AZ31" s="680">
        <f>-SUM(AZ28:AZ30)</f>
        <v/>
      </c>
      <c r="BA31" s="680">
        <f>-SUM(BA28:BA30)</f>
        <v/>
      </c>
      <c r="BB31" s="680">
        <f>-SUM(BB28:BB30)</f>
        <v/>
      </c>
      <c r="BC31" s="680">
        <f>-SUM(BC28:BC30)</f>
        <v/>
      </c>
      <c r="BD31" s="680">
        <f>-SUM(BD28:BD30)</f>
        <v/>
      </c>
      <c r="BE31" s="680">
        <f>-SUM(BE28:BE30)</f>
        <v/>
      </c>
      <c r="BH31" s="680">
        <f>-SUM(BH28:BH30)</f>
        <v/>
      </c>
      <c r="BI31" s="680">
        <f>-SUM(BI28:BI30)</f>
        <v/>
      </c>
      <c r="BJ31" s="680">
        <f>-SUM(BJ28:BJ30)</f>
        <v/>
      </c>
      <c r="BK31" s="680">
        <f>-SUM(BK28:BK30)</f>
        <v/>
      </c>
      <c r="BL31" s="680">
        <f>-SUM(BL28:BL30)</f>
        <v/>
      </c>
      <c r="BM31" s="680">
        <f>-SUM(BM28:BM30)</f>
        <v/>
      </c>
      <c r="BN31" s="680">
        <f>-SUM(BN28:BN30)</f>
        <v/>
      </c>
      <c r="BO31" s="680">
        <f>-SUM(BO28:BO30)</f>
        <v/>
      </c>
      <c r="BP31" s="680">
        <f>-SUM(BP28:BP30)</f>
        <v/>
      </c>
      <c r="BQ31" s="680">
        <f>-SUM(BQ28:BQ30)</f>
        <v/>
      </c>
      <c r="BR31" s="680">
        <f>-SUM(BR28:BR30)</f>
        <v/>
      </c>
      <c r="BS31" s="680">
        <f>-SUM(BS28:BS30)</f>
        <v/>
      </c>
    </row>
    <row r="32">
      <c r="A32" s="676" t="n">
        <v>0</v>
      </c>
      <c r="C32" s="680" t="n"/>
      <c r="D32" s="680" t="n">
        <v>0</v>
      </c>
      <c r="E32" s="680" t="n">
        <v>0</v>
      </c>
      <c r="F32" s="680" t="n">
        <v>0</v>
      </c>
      <c r="G32" s="680" t="n">
        <v>0</v>
      </c>
      <c r="H32" s="680" t="n">
        <v>0</v>
      </c>
      <c r="I32" s="680" t="n">
        <v>0</v>
      </c>
      <c r="J32" s="680" t="n">
        <v>0</v>
      </c>
      <c r="K32" s="680" t="n">
        <v>0</v>
      </c>
      <c r="L32" s="680" t="n">
        <v>0</v>
      </c>
      <c r="M32" s="680" t="n">
        <v>0</v>
      </c>
      <c r="N32" s="680" t="n">
        <v>0</v>
      </c>
      <c r="O32" s="680" t="n">
        <v>0</v>
      </c>
      <c r="P32" s="680" t="n"/>
      <c r="Q32" s="680" t="n"/>
      <c r="R32" s="681" t="n"/>
      <c r="S32" s="681" t="n"/>
      <c r="T32" s="681" t="n"/>
      <c r="U32" s="681" t="n"/>
      <c r="V32" s="681" t="n"/>
      <c r="W32" s="681" t="n"/>
      <c r="X32" s="681" t="n"/>
      <c r="Y32" s="681" t="n"/>
      <c r="Z32" s="681" t="n"/>
      <c r="AA32" s="681" t="n"/>
      <c r="AB32" s="681" t="n"/>
      <c r="AC32" s="681" t="n"/>
      <c r="AD32" s="681" t="n"/>
      <c r="AE32" s="681" t="n"/>
      <c r="AF32" s="681" t="n"/>
      <c r="AG32" s="681" t="n"/>
      <c r="AH32" s="681" t="n"/>
      <c r="AI32" s="681" t="n"/>
      <c r="AJ32" s="681" t="n"/>
      <c r="AK32" s="681" t="n"/>
      <c r="AL32" s="681" t="n"/>
      <c r="AM32" s="681" t="n"/>
      <c r="AN32" s="681" t="n"/>
      <c r="AO32" s="681" t="n"/>
      <c r="AP32" s="681" t="n"/>
      <c r="AQ32" s="681" t="n"/>
      <c r="AR32" s="681" t="n"/>
      <c r="AT32" s="681" t="n"/>
      <c r="AU32" s="681" t="n"/>
      <c r="AV32" s="681" t="n"/>
      <c r="AW32" s="681" t="n"/>
      <c r="AX32" s="681" t="n"/>
      <c r="AY32" s="681" t="n"/>
      <c r="AZ32" s="681" t="n"/>
      <c r="BA32" s="681" t="n"/>
      <c r="BB32" s="681" t="n"/>
      <c r="BC32" s="681" t="n"/>
      <c r="BD32" s="681" t="n"/>
      <c r="BE32" s="681" t="n"/>
      <c r="BH32" s="681" t="n"/>
      <c r="BI32" s="681" t="n"/>
      <c r="BJ32" s="681" t="n"/>
      <c r="BK32" s="681" t="n"/>
      <c r="BL32" s="681" t="n"/>
      <c r="BM32" s="681" t="n"/>
      <c r="BN32" s="681" t="n"/>
      <c r="BO32" s="681" t="n"/>
      <c r="BP32" s="681" t="n"/>
      <c r="BQ32" s="681" t="n"/>
      <c r="BR32" s="681" t="n"/>
      <c r="BS32" s="681" t="n"/>
    </row>
    <row r="33">
      <c r="A33" s="676" t="inlineStr">
        <is>
          <t>Salaries</t>
        </is>
      </c>
      <c r="C33" s="680" t="n"/>
      <c r="D33" s="680">
        <f>Calc!C42</f>
        <v/>
      </c>
      <c r="E33" s="680">
        <f>Calc!D42</f>
        <v/>
      </c>
      <c r="F33" s="680">
        <f>Calc!E42</f>
        <v/>
      </c>
      <c r="G33" s="680">
        <f>Calc!F42</f>
        <v/>
      </c>
      <c r="H33" s="680">
        <f>Calc!G42</f>
        <v/>
      </c>
      <c r="I33" s="680">
        <f>Calc!H42</f>
        <v/>
      </c>
      <c r="J33" s="680">
        <f>Calc!I42</f>
        <v/>
      </c>
      <c r="K33" s="680">
        <f>Calc!J42</f>
        <v/>
      </c>
      <c r="L33" s="680">
        <f>Calc!K42</f>
        <v/>
      </c>
      <c r="M33" s="680">
        <f>Calc!L42</f>
        <v/>
      </c>
      <c r="N33" s="680">
        <f>Calc!M42</f>
        <v/>
      </c>
      <c r="O33" s="680">
        <f>Calc!N42</f>
        <v/>
      </c>
      <c r="P33" s="680" t="n"/>
      <c r="Q33" s="680" t="n"/>
      <c r="R33" s="680">
        <f>Calc!P42/12</f>
        <v/>
      </c>
      <c r="S33" s="680">
        <f>R33</f>
        <v/>
      </c>
      <c r="T33" s="680">
        <f>S33</f>
        <v/>
      </c>
      <c r="U33" s="680">
        <f>T33</f>
        <v/>
      </c>
      <c r="V33" s="680">
        <f>U33</f>
        <v/>
      </c>
      <c r="W33" s="680">
        <f>V33</f>
        <v/>
      </c>
      <c r="X33" s="680">
        <f>W33</f>
        <v/>
      </c>
      <c r="Y33" s="680">
        <f>X33</f>
        <v/>
      </c>
      <c r="Z33" s="680">
        <f>Y33</f>
        <v/>
      </c>
      <c r="AA33" s="680">
        <f>Z33</f>
        <v/>
      </c>
      <c r="AB33" s="680">
        <f>AA33</f>
        <v/>
      </c>
      <c r="AC33" s="680">
        <f>AB33</f>
        <v/>
      </c>
      <c r="AD33" s="681" t="n"/>
      <c r="AE33" s="681" t="n"/>
      <c r="AF33" s="680">
        <f>Calc!Q42/12</f>
        <v/>
      </c>
      <c r="AG33" s="680">
        <f>AF33</f>
        <v/>
      </c>
      <c r="AH33" s="680">
        <f>AG33</f>
        <v/>
      </c>
      <c r="AI33" s="680">
        <f>AH33</f>
        <v/>
      </c>
      <c r="AJ33" s="680">
        <f>AI33</f>
        <v/>
      </c>
      <c r="AK33" s="680">
        <f>AJ33</f>
        <v/>
      </c>
      <c r="AL33" s="680">
        <f>AK33</f>
        <v/>
      </c>
      <c r="AM33" s="680">
        <f>AL33</f>
        <v/>
      </c>
      <c r="AN33" s="680">
        <f>AM33</f>
        <v/>
      </c>
      <c r="AO33" s="680">
        <f>AN33</f>
        <v/>
      </c>
      <c r="AP33" s="680">
        <f>AO33</f>
        <v/>
      </c>
      <c r="AQ33" s="680">
        <f>AP33</f>
        <v/>
      </c>
      <c r="AR33" s="681" t="n"/>
      <c r="AT33" s="680">
        <f>Calc!R42/12</f>
        <v/>
      </c>
      <c r="AU33" s="680">
        <f>AT33</f>
        <v/>
      </c>
      <c r="AV33" s="680">
        <f>AU33</f>
        <v/>
      </c>
      <c r="AW33" s="680">
        <f>AV33</f>
        <v/>
      </c>
      <c r="AX33" s="680">
        <f>AW33</f>
        <v/>
      </c>
      <c r="AY33" s="680">
        <f>AX33</f>
        <v/>
      </c>
      <c r="AZ33" s="680">
        <f>AY33</f>
        <v/>
      </c>
      <c r="BA33" s="680">
        <f>AZ33</f>
        <v/>
      </c>
      <c r="BB33" s="680">
        <f>BA33</f>
        <v/>
      </c>
      <c r="BC33" s="680">
        <f>BB33</f>
        <v/>
      </c>
      <c r="BD33" s="680">
        <f>BC33</f>
        <v/>
      </c>
      <c r="BE33" s="680">
        <f>BD33</f>
        <v/>
      </c>
      <c r="BH33" s="680">
        <f>Calc!S42/12</f>
        <v/>
      </c>
      <c r="BI33" s="680">
        <f>BH33</f>
        <v/>
      </c>
      <c r="BJ33" s="680">
        <f>BI33</f>
        <v/>
      </c>
      <c r="BK33" s="680">
        <f>BJ33</f>
        <v/>
      </c>
      <c r="BL33" s="680">
        <f>BK33</f>
        <v/>
      </c>
      <c r="BM33" s="680">
        <f>BL33</f>
        <v/>
      </c>
      <c r="BN33" s="680">
        <f>BM33</f>
        <v/>
      </c>
      <c r="BO33" s="680">
        <f>BN33</f>
        <v/>
      </c>
      <c r="BP33" s="680">
        <f>BO33</f>
        <v/>
      </c>
      <c r="BQ33" s="680">
        <f>BP33</f>
        <v/>
      </c>
      <c r="BR33" s="680">
        <f>BQ33</f>
        <v/>
      </c>
      <c r="BS33" s="680">
        <f>BR33</f>
        <v/>
      </c>
    </row>
    <row r="34">
      <c r="A34" s="676" t="inlineStr">
        <is>
          <t>Cash in hand and at bank</t>
        </is>
      </c>
      <c r="C34" s="680" t="n"/>
      <c r="D34" s="680">
        <f>-D33</f>
        <v/>
      </c>
      <c r="E34" s="680">
        <f>-E33</f>
        <v/>
      </c>
      <c r="F34" s="680">
        <f>-F33</f>
        <v/>
      </c>
      <c r="G34" s="680">
        <f>-G33</f>
        <v/>
      </c>
      <c r="H34" s="680">
        <f>-H33</f>
        <v/>
      </c>
      <c r="I34" s="680">
        <f>-I33</f>
        <v/>
      </c>
      <c r="J34" s="680">
        <f>-J33</f>
        <v/>
      </c>
      <c r="K34" s="680">
        <f>-K33</f>
        <v/>
      </c>
      <c r="L34" s="680">
        <f>-L33</f>
        <v/>
      </c>
      <c r="M34" s="680">
        <f>-M33</f>
        <v/>
      </c>
      <c r="N34" s="680">
        <f>-N33</f>
        <v/>
      </c>
      <c r="O34" s="680">
        <f>-O33</f>
        <v/>
      </c>
      <c r="P34" s="680" t="n"/>
      <c r="Q34" s="680" t="n"/>
      <c r="R34" s="680">
        <f>-R33</f>
        <v/>
      </c>
      <c r="S34" s="680">
        <f>-S33</f>
        <v/>
      </c>
      <c r="T34" s="680">
        <f>-T33</f>
        <v/>
      </c>
      <c r="U34" s="680">
        <f>-U33</f>
        <v/>
      </c>
      <c r="V34" s="680">
        <f>-V33</f>
        <v/>
      </c>
      <c r="W34" s="680">
        <f>-W33</f>
        <v/>
      </c>
      <c r="X34" s="680">
        <f>-X33</f>
        <v/>
      </c>
      <c r="Y34" s="680">
        <f>-Y33</f>
        <v/>
      </c>
      <c r="Z34" s="680">
        <f>-Z33</f>
        <v/>
      </c>
      <c r="AA34" s="680">
        <f>-AA33</f>
        <v/>
      </c>
      <c r="AB34" s="680">
        <f>-AB33</f>
        <v/>
      </c>
      <c r="AC34" s="680">
        <f>-AC33</f>
        <v/>
      </c>
      <c r="AD34" s="681" t="n"/>
      <c r="AE34" s="681" t="n"/>
      <c r="AF34" s="680">
        <f>-AF33</f>
        <v/>
      </c>
      <c r="AG34" s="680">
        <f>-AG33</f>
        <v/>
      </c>
      <c r="AH34" s="680">
        <f>-AH33</f>
        <v/>
      </c>
      <c r="AI34" s="680">
        <f>-AI33</f>
        <v/>
      </c>
      <c r="AJ34" s="680">
        <f>-AJ33</f>
        <v/>
      </c>
      <c r="AK34" s="680">
        <f>-AK33</f>
        <v/>
      </c>
      <c r="AL34" s="680">
        <f>-AL33</f>
        <v/>
      </c>
      <c r="AM34" s="680">
        <f>-AM33</f>
        <v/>
      </c>
      <c r="AN34" s="680">
        <f>-AN33</f>
        <v/>
      </c>
      <c r="AO34" s="680">
        <f>-AO33</f>
        <v/>
      </c>
      <c r="AP34" s="680">
        <f>-AP33</f>
        <v/>
      </c>
      <c r="AQ34" s="680">
        <f>-AQ33</f>
        <v/>
      </c>
      <c r="AR34" s="681" t="n"/>
      <c r="AT34" s="680">
        <f>-AT33</f>
        <v/>
      </c>
      <c r="AU34" s="680">
        <f>-AU33</f>
        <v/>
      </c>
      <c r="AV34" s="680">
        <f>-AV33</f>
        <v/>
      </c>
      <c r="AW34" s="680">
        <f>-AW33</f>
        <v/>
      </c>
      <c r="AX34" s="680">
        <f>-AX33</f>
        <v/>
      </c>
      <c r="AY34" s="680">
        <f>-AY33</f>
        <v/>
      </c>
      <c r="AZ34" s="680">
        <f>-AZ33</f>
        <v/>
      </c>
      <c r="BA34" s="680">
        <f>-BA33</f>
        <v/>
      </c>
      <c r="BB34" s="680">
        <f>-BB33</f>
        <v/>
      </c>
      <c r="BC34" s="680">
        <f>-BC33</f>
        <v/>
      </c>
      <c r="BD34" s="680">
        <f>-BD33</f>
        <v/>
      </c>
      <c r="BE34" s="680">
        <f>-BE33</f>
        <v/>
      </c>
      <c r="BH34" s="680">
        <f>-BH33</f>
        <v/>
      </c>
      <c r="BI34" s="680">
        <f>-BI33</f>
        <v/>
      </c>
      <c r="BJ34" s="680">
        <f>-BJ33</f>
        <v/>
      </c>
      <c r="BK34" s="680">
        <f>-BK33</f>
        <v/>
      </c>
      <c r="BL34" s="680">
        <f>-BL33</f>
        <v/>
      </c>
      <c r="BM34" s="680">
        <f>-BM33</f>
        <v/>
      </c>
      <c r="BN34" s="680">
        <f>-BN33</f>
        <v/>
      </c>
      <c r="BO34" s="680">
        <f>-BO33</f>
        <v/>
      </c>
      <c r="BP34" s="680">
        <f>-BP33</f>
        <v/>
      </c>
      <c r="BQ34" s="680">
        <f>-BQ33</f>
        <v/>
      </c>
      <c r="BR34" s="680">
        <f>-BR33</f>
        <v/>
      </c>
      <c r="BS34" s="680">
        <f>-BS33</f>
        <v/>
      </c>
    </row>
    <row r="35">
      <c r="A35" s="676" t="n">
        <v>0</v>
      </c>
      <c r="C35" s="680" t="n"/>
      <c r="D35" s="680" t="n">
        <v>0</v>
      </c>
      <c r="E35" s="680" t="n">
        <v>0</v>
      </c>
      <c r="F35" s="680" t="n">
        <v>0</v>
      </c>
      <c r="G35" s="680" t="n">
        <v>0</v>
      </c>
      <c r="H35" s="680" t="n">
        <v>0</v>
      </c>
      <c r="I35" s="680" t="n">
        <v>0</v>
      </c>
      <c r="J35" s="680" t="n">
        <v>0</v>
      </c>
      <c r="K35" s="680" t="n">
        <v>0</v>
      </c>
      <c r="L35" s="680" t="n">
        <v>0</v>
      </c>
      <c r="M35" s="680" t="n">
        <v>0</v>
      </c>
      <c r="N35" s="680" t="n">
        <v>0</v>
      </c>
      <c r="O35" s="680" t="n">
        <v>0</v>
      </c>
      <c r="P35" s="680" t="n"/>
      <c r="Q35" s="680" t="n"/>
      <c r="R35" s="681" t="n"/>
      <c r="S35" s="681" t="n"/>
      <c r="T35" s="681" t="n"/>
      <c r="U35" s="681" t="n"/>
      <c r="V35" s="681" t="n"/>
      <c r="W35" s="681" t="n"/>
      <c r="X35" s="681" t="n"/>
      <c r="Y35" s="681" t="n"/>
      <c r="Z35" s="681" t="n"/>
      <c r="AA35" s="681" t="n"/>
      <c r="AB35" s="681" t="n"/>
      <c r="AC35" s="681" t="n"/>
      <c r="AD35" s="681" t="n"/>
      <c r="AE35" s="681" t="n"/>
      <c r="AF35" s="681" t="n"/>
      <c r="AG35" s="681" t="n"/>
      <c r="AH35" s="681" t="n"/>
      <c r="AI35" s="681" t="n"/>
      <c r="AJ35" s="681" t="n"/>
      <c r="AK35" s="681" t="n"/>
      <c r="AL35" s="681" t="n"/>
      <c r="AM35" s="681" t="n"/>
      <c r="AN35" s="681" t="n"/>
      <c r="AO35" s="681" t="n"/>
      <c r="AP35" s="681" t="n"/>
      <c r="AQ35" s="681" t="n"/>
      <c r="AR35" s="681" t="n"/>
      <c r="AT35" s="681" t="n"/>
      <c r="AU35" s="681" t="n"/>
      <c r="AV35" s="681" t="n"/>
      <c r="AW35" s="681" t="n"/>
      <c r="AX35" s="681" t="n"/>
      <c r="AY35" s="681" t="n"/>
      <c r="AZ35" s="681" t="n"/>
      <c r="BA35" s="681" t="n"/>
      <c r="BB35" s="681" t="n"/>
      <c r="BC35" s="681" t="n"/>
      <c r="BD35" s="681" t="n"/>
      <c r="BE35" s="681" t="n"/>
      <c r="BI35" s="681" t="n"/>
      <c r="BJ35" s="681" t="n"/>
      <c r="BK35" s="681" t="n"/>
      <c r="BL35" s="681" t="n"/>
      <c r="BM35" s="681" t="n"/>
      <c r="BN35" s="681" t="n"/>
      <c r="BO35" s="681" t="n"/>
      <c r="BP35" s="681" t="n"/>
      <c r="BQ35" s="681" t="n"/>
      <c r="BR35" s="681" t="n"/>
      <c r="BS35" s="681" t="n"/>
    </row>
    <row r="36">
      <c r="A36" s="676" t="inlineStr">
        <is>
          <t>Office Rent</t>
        </is>
      </c>
      <c r="C36" s="680" t="n"/>
      <c r="D36" s="680">
        <f>Calc!C43</f>
        <v/>
      </c>
      <c r="E36" s="680">
        <f>Calc!D43</f>
        <v/>
      </c>
      <c r="F36" s="680">
        <f>Calc!E43</f>
        <v/>
      </c>
      <c r="G36" s="680">
        <f>Calc!F43</f>
        <v/>
      </c>
      <c r="H36" s="680">
        <f>Calc!G43</f>
        <v/>
      </c>
      <c r="I36" s="680">
        <f>Calc!H43</f>
        <v/>
      </c>
      <c r="J36" s="680">
        <f>Calc!I43</f>
        <v/>
      </c>
      <c r="K36" s="680">
        <f>Calc!J43</f>
        <v/>
      </c>
      <c r="L36" s="680">
        <f>Calc!K43</f>
        <v/>
      </c>
      <c r="M36" s="680">
        <f>Calc!L43</f>
        <v/>
      </c>
      <c r="N36" s="680">
        <f>Calc!M43</f>
        <v/>
      </c>
      <c r="O36" s="680">
        <f>Calc!N43</f>
        <v/>
      </c>
      <c r="P36" s="680" t="n"/>
      <c r="Q36" s="680" t="n"/>
      <c r="R36" s="680">
        <f>Calc!P43/12</f>
        <v/>
      </c>
      <c r="S36" s="680">
        <f>R36</f>
        <v/>
      </c>
      <c r="T36" s="680">
        <f>S36</f>
        <v/>
      </c>
      <c r="U36" s="680">
        <f>T36</f>
        <v/>
      </c>
      <c r="V36" s="680">
        <f>U36</f>
        <v/>
      </c>
      <c r="W36" s="680">
        <f>V36</f>
        <v/>
      </c>
      <c r="X36" s="680">
        <f>W36</f>
        <v/>
      </c>
      <c r="Y36" s="680">
        <f>X36</f>
        <v/>
      </c>
      <c r="Z36" s="680">
        <f>Y36</f>
        <v/>
      </c>
      <c r="AA36" s="680">
        <f>Z36</f>
        <v/>
      </c>
      <c r="AB36" s="680">
        <f>AA36</f>
        <v/>
      </c>
      <c r="AC36" s="680">
        <f>AB36</f>
        <v/>
      </c>
      <c r="AD36" s="681" t="n"/>
      <c r="AE36" s="681" t="n"/>
      <c r="AF36" s="680">
        <f>Calc!Q43/12</f>
        <v/>
      </c>
      <c r="AG36" s="680">
        <f>AF36</f>
        <v/>
      </c>
      <c r="AH36" s="680">
        <f>AG36</f>
        <v/>
      </c>
      <c r="AI36" s="680">
        <f>AH36</f>
        <v/>
      </c>
      <c r="AJ36" s="680">
        <f>AI36</f>
        <v/>
      </c>
      <c r="AK36" s="680">
        <f>AJ36</f>
        <v/>
      </c>
      <c r="AL36" s="680">
        <f>AK36</f>
        <v/>
      </c>
      <c r="AM36" s="680">
        <f>AL36</f>
        <v/>
      </c>
      <c r="AN36" s="680">
        <f>AM36</f>
        <v/>
      </c>
      <c r="AO36" s="680">
        <f>AN36</f>
        <v/>
      </c>
      <c r="AP36" s="680">
        <f>AO36</f>
        <v/>
      </c>
      <c r="AQ36" s="680">
        <f>AP36</f>
        <v/>
      </c>
      <c r="AR36" s="681" t="n"/>
      <c r="AT36" s="680">
        <f>Calc!R43/12</f>
        <v/>
      </c>
      <c r="AU36" s="680">
        <f>AT36</f>
        <v/>
      </c>
      <c r="AV36" s="680">
        <f>AU36</f>
        <v/>
      </c>
      <c r="AW36" s="680">
        <f>AV36</f>
        <v/>
      </c>
      <c r="AX36" s="680">
        <f>AW36</f>
        <v/>
      </c>
      <c r="AY36" s="680">
        <f>AX36</f>
        <v/>
      </c>
      <c r="AZ36" s="680">
        <f>AY36</f>
        <v/>
      </c>
      <c r="BA36" s="680">
        <f>AZ36</f>
        <v/>
      </c>
      <c r="BB36" s="680">
        <f>BA36</f>
        <v/>
      </c>
      <c r="BC36" s="680">
        <f>BB36</f>
        <v/>
      </c>
      <c r="BD36" s="680">
        <f>BC36</f>
        <v/>
      </c>
      <c r="BE36" s="680">
        <f>BD36</f>
        <v/>
      </c>
      <c r="BH36" s="680">
        <f>Calc!S43/12</f>
        <v/>
      </c>
      <c r="BI36" s="680">
        <f>BH36</f>
        <v/>
      </c>
      <c r="BJ36" s="680">
        <f>BI36</f>
        <v/>
      </c>
      <c r="BK36" s="680">
        <f>BJ36</f>
        <v/>
      </c>
      <c r="BL36" s="680">
        <f>BK36</f>
        <v/>
      </c>
      <c r="BM36" s="680">
        <f>BL36</f>
        <v/>
      </c>
      <c r="BN36" s="680">
        <f>BM36</f>
        <v/>
      </c>
      <c r="BO36" s="680">
        <f>BN36</f>
        <v/>
      </c>
      <c r="BP36" s="680">
        <f>BO36</f>
        <v/>
      </c>
      <c r="BQ36" s="680">
        <f>BP36</f>
        <v/>
      </c>
      <c r="BR36" s="680">
        <f>BQ36</f>
        <v/>
      </c>
      <c r="BS36" s="680">
        <f>BR36</f>
        <v/>
      </c>
    </row>
    <row r="37">
      <c r="A37" s="676" t="inlineStr">
        <is>
          <t>Cash in hand and at bank</t>
        </is>
      </c>
      <c r="C37" s="680" t="n"/>
      <c r="D37" s="680">
        <f>-D36</f>
        <v/>
      </c>
      <c r="E37" s="680">
        <f>-E36</f>
        <v/>
      </c>
      <c r="F37" s="680">
        <f>-F36</f>
        <v/>
      </c>
      <c r="G37" s="680">
        <f>-G36</f>
        <v/>
      </c>
      <c r="H37" s="680">
        <f>-H36</f>
        <v/>
      </c>
      <c r="I37" s="680">
        <f>-I36</f>
        <v/>
      </c>
      <c r="J37" s="680">
        <f>-J36</f>
        <v/>
      </c>
      <c r="K37" s="680">
        <f>-K36</f>
        <v/>
      </c>
      <c r="L37" s="680">
        <f>-L36</f>
        <v/>
      </c>
      <c r="M37" s="680">
        <f>-M36</f>
        <v/>
      </c>
      <c r="N37" s="680">
        <f>-N36</f>
        <v/>
      </c>
      <c r="O37" s="680">
        <f>-O36</f>
        <v/>
      </c>
      <c r="P37" s="680" t="n"/>
      <c r="Q37" s="680" t="n"/>
      <c r="R37" s="680">
        <f>-R36</f>
        <v/>
      </c>
      <c r="S37" s="680">
        <f>-S36</f>
        <v/>
      </c>
      <c r="T37" s="680">
        <f>-T36</f>
        <v/>
      </c>
      <c r="U37" s="680">
        <f>-U36</f>
        <v/>
      </c>
      <c r="V37" s="680">
        <f>-V36</f>
        <v/>
      </c>
      <c r="W37" s="680">
        <f>-W36</f>
        <v/>
      </c>
      <c r="X37" s="680">
        <f>-X36</f>
        <v/>
      </c>
      <c r="Y37" s="680">
        <f>-Y36</f>
        <v/>
      </c>
      <c r="Z37" s="680">
        <f>-Z36</f>
        <v/>
      </c>
      <c r="AA37" s="680">
        <f>-AA36</f>
        <v/>
      </c>
      <c r="AB37" s="680">
        <f>-AB36</f>
        <v/>
      </c>
      <c r="AC37" s="680">
        <f>-AC36</f>
        <v/>
      </c>
      <c r="AD37" s="681" t="n"/>
      <c r="AE37" s="681" t="n"/>
      <c r="AF37" s="680">
        <f>-AF36</f>
        <v/>
      </c>
      <c r="AG37" s="680">
        <f>-AG36</f>
        <v/>
      </c>
      <c r="AH37" s="680">
        <f>-AH36</f>
        <v/>
      </c>
      <c r="AI37" s="680">
        <f>-AI36</f>
        <v/>
      </c>
      <c r="AJ37" s="680">
        <f>-AJ36</f>
        <v/>
      </c>
      <c r="AK37" s="680">
        <f>-AK36</f>
        <v/>
      </c>
      <c r="AL37" s="680">
        <f>-AL36</f>
        <v/>
      </c>
      <c r="AM37" s="680">
        <f>-AM36</f>
        <v/>
      </c>
      <c r="AN37" s="680">
        <f>-AN36</f>
        <v/>
      </c>
      <c r="AO37" s="680">
        <f>-AO36</f>
        <v/>
      </c>
      <c r="AP37" s="680">
        <f>-AP36</f>
        <v/>
      </c>
      <c r="AQ37" s="680">
        <f>-AQ36</f>
        <v/>
      </c>
      <c r="AR37" s="681" t="n"/>
      <c r="AT37" s="680">
        <f>-AT36</f>
        <v/>
      </c>
      <c r="AU37" s="680">
        <f>-AU36</f>
        <v/>
      </c>
      <c r="AV37" s="680">
        <f>-AV36</f>
        <v/>
      </c>
      <c r="AW37" s="680">
        <f>-AW36</f>
        <v/>
      </c>
      <c r="AX37" s="680">
        <f>-AX36</f>
        <v/>
      </c>
      <c r="AY37" s="680">
        <f>-AY36</f>
        <v/>
      </c>
      <c r="AZ37" s="680">
        <f>-AZ36</f>
        <v/>
      </c>
      <c r="BA37" s="680">
        <f>-BA36</f>
        <v/>
      </c>
      <c r="BB37" s="680">
        <f>-BB36</f>
        <v/>
      </c>
      <c r="BC37" s="680">
        <f>-BC36</f>
        <v/>
      </c>
      <c r="BD37" s="680">
        <f>-BD36</f>
        <v/>
      </c>
      <c r="BE37" s="680">
        <f>-BE36</f>
        <v/>
      </c>
      <c r="BH37" s="680">
        <f>-BH36</f>
        <v/>
      </c>
      <c r="BI37" s="680">
        <f>-BI36</f>
        <v/>
      </c>
      <c r="BJ37" s="680">
        <f>-BJ36</f>
        <v/>
      </c>
      <c r="BK37" s="680">
        <f>-BK36</f>
        <v/>
      </c>
      <c r="BL37" s="680">
        <f>-BL36</f>
        <v/>
      </c>
      <c r="BM37" s="680">
        <f>-BM36</f>
        <v/>
      </c>
      <c r="BN37" s="680">
        <f>-BN36</f>
        <v/>
      </c>
      <c r="BO37" s="680">
        <f>-BO36</f>
        <v/>
      </c>
      <c r="BP37" s="680">
        <f>-BP36</f>
        <v/>
      </c>
      <c r="BQ37" s="680">
        <f>-BQ36</f>
        <v/>
      </c>
      <c r="BR37" s="680">
        <f>-BR36</f>
        <v/>
      </c>
      <c r="BS37" s="680">
        <f>-BS36</f>
        <v/>
      </c>
    </row>
    <row r="38">
      <c r="A38" s="676" t="n">
        <v>0</v>
      </c>
      <c r="C38" s="680" t="n"/>
      <c r="D38" s="680" t="n">
        <v>0</v>
      </c>
      <c r="E38" s="680" t="n">
        <v>0</v>
      </c>
      <c r="F38" s="680" t="n">
        <v>0</v>
      </c>
      <c r="G38" s="680" t="n">
        <v>0</v>
      </c>
      <c r="H38" s="680" t="n">
        <v>0</v>
      </c>
      <c r="I38" s="680" t="n">
        <v>0</v>
      </c>
      <c r="J38" s="680" t="n">
        <v>0</v>
      </c>
      <c r="K38" s="680" t="n">
        <v>0</v>
      </c>
      <c r="L38" s="680" t="n">
        <v>0</v>
      </c>
      <c r="M38" s="680" t="n">
        <v>0</v>
      </c>
      <c r="N38" s="680" t="n">
        <v>0</v>
      </c>
      <c r="O38" s="680" t="n">
        <v>0</v>
      </c>
      <c r="P38" s="680" t="n"/>
      <c r="Q38" s="680" t="n"/>
      <c r="R38" s="681" t="n"/>
      <c r="S38" s="681" t="n"/>
      <c r="T38" s="681" t="n"/>
      <c r="U38" s="681" t="n"/>
      <c r="V38" s="681" t="n"/>
      <c r="W38" s="681" t="n"/>
      <c r="X38" s="681" t="n"/>
      <c r="Y38" s="681" t="n"/>
      <c r="Z38" s="681" t="n"/>
      <c r="AA38" s="681" t="n"/>
      <c r="AB38" s="681" t="n"/>
      <c r="AC38" s="681" t="n"/>
      <c r="AD38" s="681" t="n"/>
      <c r="AE38" s="681" t="n"/>
      <c r="AF38" s="681" t="n"/>
      <c r="AG38" s="681" t="n"/>
      <c r="AH38" s="681" t="n"/>
      <c r="AI38" s="681" t="n"/>
      <c r="AJ38" s="681" t="n"/>
      <c r="AK38" s="681" t="n"/>
      <c r="AL38" s="681" t="n"/>
      <c r="AM38" s="681" t="n"/>
      <c r="AN38" s="681" t="n"/>
      <c r="AO38" s="681" t="n"/>
      <c r="AP38" s="681" t="n"/>
      <c r="AQ38" s="681" t="n"/>
      <c r="AR38" s="681" t="n"/>
      <c r="AU38" s="681" t="n"/>
      <c r="AV38" s="681" t="n"/>
      <c r="AW38" s="681" t="n"/>
      <c r="AX38" s="681" t="n"/>
      <c r="AY38" s="681" t="n"/>
      <c r="AZ38" s="681" t="n"/>
      <c r="BA38" s="681" t="n"/>
      <c r="BB38" s="681" t="n"/>
      <c r="BC38" s="681" t="n"/>
      <c r="BD38" s="681" t="n"/>
      <c r="BE38" s="681" t="n"/>
      <c r="BI38" s="681" t="n"/>
      <c r="BJ38" s="681" t="n"/>
      <c r="BK38" s="681" t="n"/>
      <c r="BL38" s="681" t="n"/>
      <c r="BM38" s="681" t="n"/>
      <c r="BN38" s="681" t="n"/>
      <c r="BO38" s="681" t="n"/>
      <c r="BP38" s="681" t="n"/>
      <c r="BQ38" s="681" t="n"/>
      <c r="BR38" s="681" t="n"/>
      <c r="BS38" s="681" t="n"/>
    </row>
    <row r="39">
      <c r="A39" s="676" t="inlineStr">
        <is>
          <t>Utilities</t>
        </is>
      </c>
      <c r="C39" s="680" t="n"/>
      <c r="D39" s="680">
        <f>Calc!C44</f>
        <v/>
      </c>
      <c r="E39" s="680">
        <f>Calc!D44</f>
        <v/>
      </c>
      <c r="F39" s="680">
        <f>Calc!E44</f>
        <v/>
      </c>
      <c r="G39" s="680">
        <f>Calc!F44</f>
        <v/>
      </c>
      <c r="H39" s="680">
        <f>Calc!G44</f>
        <v/>
      </c>
      <c r="I39" s="680">
        <f>Calc!H44</f>
        <v/>
      </c>
      <c r="J39" s="680">
        <f>Calc!I44</f>
        <v/>
      </c>
      <c r="K39" s="680">
        <f>Calc!J44</f>
        <v/>
      </c>
      <c r="L39" s="680">
        <f>Calc!K44</f>
        <v/>
      </c>
      <c r="M39" s="680">
        <f>Calc!L44</f>
        <v/>
      </c>
      <c r="N39" s="680">
        <f>Calc!M44</f>
        <v/>
      </c>
      <c r="O39" s="680">
        <f>Calc!N44</f>
        <v/>
      </c>
      <c r="P39" s="680" t="n"/>
      <c r="Q39" s="680" t="n"/>
      <c r="R39" s="680">
        <f>Calc!P44/12</f>
        <v/>
      </c>
      <c r="S39" s="680">
        <f>R39</f>
        <v/>
      </c>
      <c r="T39" s="680">
        <f>S39</f>
        <v/>
      </c>
      <c r="U39" s="680">
        <f>T39</f>
        <v/>
      </c>
      <c r="V39" s="680">
        <f>U39</f>
        <v/>
      </c>
      <c r="W39" s="680">
        <f>V39</f>
        <v/>
      </c>
      <c r="X39" s="680">
        <f>W39</f>
        <v/>
      </c>
      <c r="Y39" s="680">
        <f>X39</f>
        <v/>
      </c>
      <c r="Z39" s="680">
        <f>Y39</f>
        <v/>
      </c>
      <c r="AA39" s="680">
        <f>Z39</f>
        <v/>
      </c>
      <c r="AB39" s="680">
        <f>AA39</f>
        <v/>
      </c>
      <c r="AC39" s="680">
        <f>AB39</f>
        <v/>
      </c>
      <c r="AD39" s="681" t="n"/>
      <c r="AE39" s="681" t="n"/>
      <c r="AF39" s="680">
        <f>Calc!Q44/12</f>
        <v/>
      </c>
      <c r="AG39" s="680">
        <f>AF39</f>
        <v/>
      </c>
      <c r="AH39" s="680">
        <f>AG39</f>
        <v/>
      </c>
      <c r="AI39" s="680">
        <f>AH39</f>
        <v/>
      </c>
      <c r="AJ39" s="680">
        <f>AI39</f>
        <v/>
      </c>
      <c r="AK39" s="680">
        <f>AJ39</f>
        <v/>
      </c>
      <c r="AL39" s="680">
        <f>AK39</f>
        <v/>
      </c>
      <c r="AM39" s="680">
        <f>AL39</f>
        <v/>
      </c>
      <c r="AN39" s="680">
        <f>AM39</f>
        <v/>
      </c>
      <c r="AO39" s="680">
        <f>AN39</f>
        <v/>
      </c>
      <c r="AP39" s="680">
        <f>AO39</f>
        <v/>
      </c>
      <c r="AQ39" s="680">
        <f>AP39</f>
        <v/>
      </c>
      <c r="AR39" s="681" t="n"/>
      <c r="AT39" s="680">
        <f>Calc!R44/12</f>
        <v/>
      </c>
      <c r="AU39" s="680">
        <f>AT39</f>
        <v/>
      </c>
      <c r="AV39" s="680">
        <f>AU39</f>
        <v/>
      </c>
      <c r="AW39" s="680">
        <f>AV39</f>
        <v/>
      </c>
      <c r="AX39" s="680">
        <f>AW39</f>
        <v/>
      </c>
      <c r="AY39" s="680">
        <f>AX39</f>
        <v/>
      </c>
      <c r="AZ39" s="680">
        <f>AY39</f>
        <v/>
      </c>
      <c r="BA39" s="680">
        <f>AZ39</f>
        <v/>
      </c>
      <c r="BB39" s="680">
        <f>BA39</f>
        <v/>
      </c>
      <c r="BC39" s="680">
        <f>BB39</f>
        <v/>
      </c>
      <c r="BD39" s="680">
        <f>BC39</f>
        <v/>
      </c>
      <c r="BE39" s="680">
        <f>BD39</f>
        <v/>
      </c>
      <c r="BH39" s="680">
        <f>Calc!S44/12</f>
        <v/>
      </c>
      <c r="BI39" s="680">
        <f>BH39</f>
        <v/>
      </c>
      <c r="BJ39" s="680">
        <f>BI39</f>
        <v/>
      </c>
      <c r="BK39" s="680">
        <f>BJ39</f>
        <v/>
      </c>
      <c r="BL39" s="680">
        <f>BK39</f>
        <v/>
      </c>
      <c r="BM39" s="680">
        <f>BL39</f>
        <v/>
      </c>
      <c r="BN39" s="680">
        <f>BM39</f>
        <v/>
      </c>
      <c r="BO39" s="680">
        <f>BN39</f>
        <v/>
      </c>
      <c r="BP39" s="680">
        <f>BO39</f>
        <v/>
      </c>
      <c r="BQ39" s="680">
        <f>BP39</f>
        <v/>
      </c>
      <c r="BR39" s="680">
        <f>BQ39</f>
        <v/>
      </c>
      <c r="BS39" s="680">
        <f>BR39</f>
        <v/>
      </c>
    </row>
    <row r="40">
      <c r="A40" s="676" t="inlineStr">
        <is>
          <t>Cash in hand and at bank</t>
        </is>
      </c>
      <c r="C40" s="680" t="n"/>
      <c r="D40" s="680">
        <f>-D39</f>
        <v/>
      </c>
      <c r="E40" s="680">
        <f>-E39</f>
        <v/>
      </c>
      <c r="F40" s="680">
        <f>-F39</f>
        <v/>
      </c>
      <c r="G40" s="680">
        <f>-G39</f>
        <v/>
      </c>
      <c r="H40" s="680">
        <f>-H39</f>
        <v/>
      </c>
      <c r="I40" s="680">
        <f>-I39</f>
        <v/>
      </c>
      <c r="J40" s="680">
        <f>-J39</f>
        <v/>
      </c>
      <c r="K40" s="680">
        <f>-K39</f>
        <v/>
      </c>
      <c r="L40" s="680">
        <f>-L39</f>
        <v/>
      </c>
      <c r="M40" s="680">
        <f>-M39</f>
        <v/>
      </c>
      <c r="N40" s="680">
        <f>-N39</f>
        <v/>
      </c>
      <c r="O40" s="680">
        <f>-O39</f>
        <v/>
      </c>
      <c r="P40" s="680" t="n"/>
      <c r="Q40" s="680" t="n"/>
      <c r="R40" s="680">
        <f>-R39</f>
        <v/>
      </c>
      <c r="S40" s="680">
        <f>-S39</f>
        <v/>
      </c>
      <c r="T40" s="680">
        <f>-T39</f>
        <v/>
      </c>
      <c r="U40" s="680">
        <f>-U39</f>
        <v/>
      </c>
      <c r="V40" s="680">
        <f>-V39</f>
        <v/>
      </c>
      <c r="W40" s="680">
        <f>-W39</f>
        <v/>
      </c>
      <c r="X40" s="680">
        <f>-X39</f>
        <v/>
      </c>
      <c r="Y40" s="680">
        <f>-Y39</f>
        <v/>
      </c>
      <c r="Z40" s="680">
        <f>-Z39</f>
        <v/>
      </c>
      <c r="AA40" s="680">
        <f>-AA39</f>
        <v/>
      </c>
      <c r="AB40" s="680">
        <f>-AB39</f>
        <v/>
      </c>
      <c r="AC40" s="680">
        <f>-AC39</f>
        <v/>
      </c>
      <c r="AD40" s="681" t="n"/>
      <c r="AE40" s="681" t="n"/>
      <c r="AF40" s="680">
        <f>-AF39</f>
        <v/>
      </c>
      <c r="AG40" s="680">
        <f>-AG39</f>
        <v/>
      </c>
      <c r="AH40" s="680">
        <f>-AH39</f>
        <v/>
      </c>
      <c r="AI40" s="680">
        <f>-AI39</f>
        <v/>
      </c>
      <c r="AJ40" s="680">
        <f>-AJ39</f>
        <v/>
      </c>
      <c r="AK40" s="680">
        <f>-AK39</f>
        <v/>
      </c>
      <c r="AL40" s="680">
        <f>-AL39</f>
        <v/>
      </c>
      <c r="AM40" s="680">
        <f>-AM39</f>
        <v/>
      </c>
      <c r="AN40" s="680">
        <f>-AN39</f>
        <v/>
      </c>
      <c r="AO40" s="680">
        <f>-AO39</f>
        <v/>
      </c>
      <c r="AP40" s="680">
        <f>-AP39</f>
        <v/>
      </c>
      <c r="AQ40" s="680">
        <f>-AQ39</f>
        <v/>
      </c>
      <c r="AR40" s="681" t="n"/>
      <c r="AT40" s="680">
        <f>-AT39</f>
        <v/>
      </c>
      <c r="AU40" s="680">
        <f>-AU39</f>
        <v/>
      </c>
      <c r="AV40" s="680">
        <f>-AV39</f>
        <v/>
      </c>
      <c r="AW40" s="680">
        <f>-AW39</f>
        <v/>
      </c>
      <c r="AX40" s="680">
        <f>-AX39</f>
        <v/>
      </c>
      <c r="AY40" s="680">
        <f>-AY39</f>
        <v/>
      </c>
      <c r="AZ40" s="680">
        <f>-AZ39</f>
        <v/>
      </c>
      <c r="BA40" s="680">
        <f>-BA39</f>
        <v/>
      </c>
      <c r="BB40" s="680">
        <f>-BB39</f>
        <v/>
      </c>
      <c r="BC40" s="680">
        <f>-BC39</f>
        <v/>
      </c>
      <c r="BD40" s="680">
        <f>-BD39</f>
        <v/>
      </c>
      <c r="BE40" s="680">
        <f>-BE39</f>
        <v/>
      </c>
      <c r="BH40" s="680">
        <f>-BH39</f>
        <v/>
      </c>
      <c r="BI40" s="680">
        <f>-BI39</f>
        <v/>
      </c>
      <c r="BJ40" s="680">
        <f>-BJ39</f>
        <v/>
      </c>
      <c r="BK40" s="680">
        <f>-BK39</f>
        <v/>
      </c>
      <c r="BL40" s="680">
        <f>-BL39</f>
        <v/>
      </c>
      <c r="BM40" s="680">
        <f>-BM39</f>
        <v/>
      </c>
      <c r="BN40" s="680">
        <f>-BN39</f>
        <v/>
      </c>
      <c r="BO40" s="680">
        <f>-BO39</f>
        <v/>
      </c>
      <c r="BP40" s="680">
        <f>-BP39</f>
        <v/>
      </c>
      <c r="BQ40" s="680">
        <f>-BQ39</f>
        <v/>
      </c>
      <c r="BR40" s="680">
        <f>-BR39</f>
        <v/>
      </c>
      <c r="BS40" s="680">
        <f>-BS39</f>
        <v/>
      </c>
    </row>
    <row r="41">
      <c r="A41" s="676" t="n">
        <v>0</v>
      </c>
      <c r="C41" s="680" t="n"/>
      <c r="D41" s="680" t="n">
        <v>0</v>
      </c>
      <c r="E41" s="680" t="n">
        <v>0</v>
      </c>
      <c r="F41" s="680" t="n">
        <v>0</v>
      </c>
      <c r="G41" s="680" t="n">
        <v>0</v>
      </c>
      <c r="H41" s="680" t="n">
        <v>0</v>
      </c>
      <c r="I41" s="680" t="n">
        <v>0</v>
      </c>
      <c r="J41" s="680" t="n">
        <v>0</v>
      </c>
      <c r="K41" s="680" t="n">
        <v>0</v>
      </c>
      <c r="L41" s="680" t="n">
        <v>0</v>
      </c>
      <c r="M41" s="680" t="n">
        <v>0</v>
      </c>
      <c r="N41" s="680" t="n">
        <v>0</v>
      </c>
      <c r="O41" s="680" t="n">
        <v>0</v>
      </c>
      <c r="P41" s="680" t="n"/>
      <c r="Q41" s="680" t="n"/>
      <c r="R41" s="681" t="n"/>
      <c r="S41" s="681" t="n"/>
      <c r="T41" s="681" t="n"/>
      <c r="U41" s="681" t="n"/>
      <c r="V41" s="681" t="n"/>
      <c r="W41" s="681" t="n"/>
      <c r="X41" s="681" t="n"/>
      <c r="Y41" s="681" t="n"/>
      <c r="Z41" s="681" t="n"/>
      <c r="AA41" s="681" t="n"/>
      <c r="AB41" s="681" t="n"/>
      <c r="AC41" s="681" t="n"/>
      <c r="AD41" s="681" t="n"/>
      <c r="AE41" s="681" t="n"/>
      <c r="AF41" s="681" t="n"/>
      <c r="AG41" s="681" t="n"/>
      <c r="AH41" s="681" t="n"/>
      <c r="AI41" s="681" t="n"/>
      <c r="AJ41" s="681" t="n"/>
      <c r="AK41" s="681" t="n"/>
      <c r="AL41" s="681" t="n"/>
      <c r="AM41" s="681" t="n"/>
      <c r="AN41" s="681" t="n"/>
      <c r="AO41" s="681" t="n"/>
      <c r="AP41" s="681" t="n"/>
      <c r="AQ41" s="681" t="n"/>
      <c r="AR41" s="681" t="n"/>
      <c r="AU41" s="681" t="n"/>
      <c r="AV41" s="681" t="n"/>
      <c r="AW41" s="681" t="n"/>
      <c r="AX41" s="681" t="n"/>
      <c r="AY41" s="681" t="n"/>
      <c r="AZ41" s="681" t="n"/>
      <c r="BA41" s="681" t="n"/>
      <c r="BB41" s="681" t="n"/>
      <c r="BC41" s="681" t="n"/>
      <c r="BD41" s="681" t="n"/>
      <c r="BE41" s="681" t="n"/>
      <c r="BI41" s="681" t="n"/>
      <c r="BJ41" s="681" t="n"/>
      <c r="BK41" s="681" t="n"/>
      <c r="BL41" s="681" t="n"/>
      <c r="BM41" s="681" t="n"/>
      <c r="BN41" s="681" t="n"/>
      <c r="BO41" s="681" t="n"/>
      <c r="BP41" s="681" t="n"/>
      <c r="BQ41" s="681" t="n"/>
      <c r="BR41" s="681" t="n"/>
      <c r="BS41" s="681" t="n"/>
    </row>
    <row r="42">
      <c r="A42" s="676" t="inlineStr">
        <is>
          <t>Repairs and Maintenance</t>
        </is>
      </c>
      <c r="C42" s="680" t="n"/>
      <c r="D42" s="680">
        <f>Calc!C45</f>
        <v/>
      </c>
      <c r="E42" s="680">
        <f>Calc!D45</f>
        <v/>
      </c>
      <c r="F42" s="680">
        <f>Calc!E45</f>
        <v/>
      </c>
      <c r="G42" s="680">
        <f>Calc!F45</f>
        <v/>
      </c>
      <c r="H42" s="680">
        <f>Calc!G45</f>
        <v/>
      </c>
      <c r="I42" s="680">
        <f>Calc!H45</f>
        <v/>
      </c>
      <c r="J42" s="680">
        <f>Calc!I45</f>
        <v/>
      </c>
      <c r="K42" s="680">
        <f>Calc!J45</f>
        <v/>
      </c>
      <c r="L42" s="680">
        <f>Calc!K45</f>
        <v/>
      </c>
      <c r="M42" s="680">
        <f>Calc!L45</f>
        <v/>
      </c>
      <c r="N42" s="680">
        <f>Calc!M45</f>
        <v/>
      </c>
      <c r="O42" s="680">
        <f>Calc!N45</f>
        <v/>
      </c>
      <c r="P42" s="680" t="n"/>
      <c r="Q42" s="680" t="n"/>
      <c r="R42" s="680">
        <f>Calc!P45/12</f>
        <v/>
      </c>
      <c r="S42" s="680">
        <f>R42</f>
        <v/>
      </c>
      <c r="T42" s="680">
        <f>S42</f>
        <v/>
      </c>
      <c r="U42" s="680">
        <f>T42</f>
        <v/>
      </c>
      <c r="V42" s="680">
        <f>U42</f>
        <v/>
      </c>
      <c r="W42" s="680">
        <f>V42</f>
        <v/>
      </c>
      <c r="X42" s="680">
        <f>W42</f>
        <v/>
      </c>
      <c r="Y42" s="680">
        <f>X42</f>
        <v/>
      </c>
      <c r="Z42" s="680">
        <f>Y42</f>
        <v/>
      </c>
      <c r="AA42" s="680">
        <f>Z42</f>
        <v/>
      </c>
      <c r="AB42" s="680">
        <f>AA42</f>
        <v/>
      </c>
      <c r="AC42" s="680">
        <f>AB42</f>
        <v/>
      </c>
      <c r="AD42" s="681" t="n"/>
      <c r="AE42" s="681" t="n"/>
      <c r="AF42" s="680">
        <f>Calc!Q45/12</f>
        <v/>
      </c>
      <c r="AG42" s="680">
        <f>AF42</f>
        <v/>
      </c>
      <c r="AH42" s="680">
        <f>AG42</f>
        <v/>
      </c>
      <c r="AI42" s="680">
        <f>AH42</f>
        <v/>
      </c>
      <c r="AJ42" s="680">
        <f>AI42</f>
        <v/>
      </c>
      <c r="AK42" s="680">
        <f>AJ42</f>
        <v/>
      </c>
      <c r="AL42" s="680">
        <f>AK42</f>
        <v/>
      </c>
      <c r="AM42" s="680">
        <f>AL42</f>
        <v/>
      </c>
      <c r="AN42" s="680">
        <f>AM42</f>
        <v/>
      </c>
      <c r="AO42" s="680">
        <f>AN42</f>
        <v/>
      </c>
      <c r="AP42" s="680">
        <f>AO42</f>
        <v/>
      </c>
      <c r="AQ42" s="680">
        <f>AP42</f>
        <v/>
      </c>
      <c r="AR42" s="681" t="n"/>
      <c r="AT42" s="680">
        <f>Calc!R45/12</f>
        <v/>
      </c>
      <c r="AU42" s="680">
        <f>AT42</f>
        <v/>
      </c>
      <c r="AV42" s="680">
        <f>AU42</f>
        <v/>
      </c>
      <c r="AW42" s="680">
        <f>AV42</f>
        <v/>
      </c>
      <c r="AX42" s="680">
        <f>AW42</f>
        <v/>
      </c>
      <c r="AY42" s="680">
        <f>AX42</f>
        <v/>
      </c>
      <c r="AZ42" s="680">
        <f>AY42</f>
        <v/>
      </c>
      <c r="BA42" s="680">
        <f>AZ42</f>
        <v/>
      </c>
      <c r="BB42" s="680">
        <f>BA42</f>
        <v/>
      </c>
      <c r="BC42" s="680">
        <f>BB42</f>
        <v/>
      </c>
      <c r="BD42" s="680">
        <f>BC42</f>
        <v/>
      </c>
      <c r="BE42" s="680">
        <f>BD42</f>
        <v/>
      </c>
      <c r="BH42" s="680">
        <f>Calc!S45/12</f>
        <v/>
      </c>
      <c r="BI42" s="680">
        <f>BH42</f>
        <v/>
      </c>
      <c r="BJ42" s="680">
        <f>BI42</f>
        <v/>
      </c>
      <c r="BK42" s="680">
        <f>BJ42</f>
        <v/>
      </c>
      <c r="BL42" s="680">
        <f>BK42</f>
        <v/>
      </c>
      <c r="BM42" s="680">
        <f>BL42</f>
        <v/>
      </c>
      <c r="BN42" s="680">
        <f>BM42</f>
        <v/>
      </c>
      <c r="BO42" s="680">
        <f>BN42</f>
        <v/>
      </c>
      <c r="BP42" s="680">
        <f>BO42</f>
        <v/>
      </c>
      <c r="BQ42" s="680">
        <f>BP42</f>
        <v/>
      </c>
      <c r="BR42" s="680">
        <f>BQ42</f>
        <v/>
      </c>
      <c r="BS42" s="680">
        <f>BR42</f>
        <v/>
      </c>
    </row>
    <row r="43">
      <c r="A43" s="676" t="inlineStr">
        <is>
          <t>Cash in hand and at bank</t>
        </is>
      </c>
      <c r="C43" s="680" t="n"/>
      <c r="D43" s="680">
        <f>-D42</f>
        <v/>
      </c>
      <c r="E43" s="680">
        <f>-E42</f>
        <v/>
      </c>
      <c r="F43" s="680">
        <f>-F42</f>
        <v/>
      </c>
      <c r="G43" s="680">
        <f>-G42</f>
        <v/>
      </c>
      <c r="H43" s="680">
        <f>-H42</f>
        <v/>
      </c>
      <c r="I43" s="680">
        <f>-I42</f>
        <v/>
      </c>
      <c r="J43" s="680">
        <f>-J42</f>
        <v/>
      </c>
      <c r="K43" s="680">
        <f>-K42</f>
        <v/>
      </c>
      <c r="L43" s="680">
        <f>-L42</f>
        <v/>
      </c>
      <c r="M43" s="680">
        <f>-M42</f>
        <v/>
      </c>
      <c r="N43" s="680">
        <f>-N42</f>
        <v/>
      </c>
      <c r="O43" s="680">
        <f>-O42</f>
        <v/>
      </c>
      <c r="P43" s="680" t="n"/>
      <c r="Q43" s="680" t="n"/>
      <c r="R43" s="680">
        <f>-R42</f>
        <v/>
      </c>
      <c r="S43" s="680">
        <f>-S42</f>
        <v/>
      </c>
      <c r="T43" s="680">
        <f>-T42</f>
        <v/>
      </c>
      <c r="U43" s="680">
        <f>-U42</f>
        <v/>
      </c>
      <c r="V43" s="680">
        <f>-V42</f>
        <v/>
      </c>
      <c r="W43" s="680">
        <f>-W42</f>
        <v/>
      </c>
      <c r="X43" s="680">
        <f>-X42</f>
        <v/>
      </c>
      <c r="Y43" s="680">
        <f>-Y42</f>
        <v/>
      </c>
      <c r="Z43" s="680">
        <f>-Z42</f>
        <v/>
      </c>
      <c r="AA43" s="680">
        <f>-AA42</f>
        <v/>
      </c>
      <c r="AB43" s="680">
        <f>-AB42</f>
        <v/>
      </c>
      <c r="AC43" s="680">
        <f>-AC42</f>
        <v/>
      </c>
      <c r="AD43" s="681" t="n"/>
      <c r="AE43" s="681" t="n"/>
      <c r="AF43" s="680">
        <f>-AF42</f>
        <v/>
      </c>
      <c r="AG43" s="680">
        <f>-AG42</f>
        <v/>
      </c>
      <c r="AH43" s="680">
        <f>-AH42</f>
        <v/>
      </c>
      <c r="AI43" s="680">
        <f>-AI42</f>
        <v/>
      </c>
      <c r="AJ43" s="680">
        <f>-AJ42</f>
        <v/>
      </c>
      <c r="AK43" s="680">
        <f>-AK42</f>
        <v/>
      </c>
      <c r="AL43" s="680">
        <f>-AL42</f>
        <v/>
      </c>
      <c r="AM43" s="680">
        <f>-AM42</f>
        <v/>
      </c>
      <c r="AN43" s="680">
        <f>-AN42</f>
        <v/>
      </c>
      <c r="AO43" s="680">
        <f>-AO42</f>
        <v/>
      </c>
      <c r="AP43" s="680">
        <f>-AP42</f>
        <v/>
      </c>
      <c r="AQ43" s="680">
        <f>-AQ42</f>
        <v/>
      </c>
      <c r="AR43" s="681" t="n"/>
      <c r="AT43" s="680">
        <f>-AT42</f>
        <v/>
      </c>
      <c r="AU43" s="680">
        <f>-AU42</f>
        <v/>
      </c>
      <c r="AV43" s="680">
        <f>-AV42</f>
        <v/>
      </c>
      <c r="AW43" s="680">
        <f>-AW42</f>
        <v/>
      </c>
      <c r="AX43" s="680">
        <f>-AX42</f>
        <v/>
      </c>
      <c r="AY43" s="680">
        <f>-AY42</f>
        <v/>
      </c>
      <c r="AZ43" s="680">
        <f>-AZ42</f>
        <v/>
      </c>
      <c r="BA43" s="680">
        <f>-BA42</f>
        <v/>
      </c>
      <c r="BB43" s="680">
        <f>-BB42</f>
        <v/>
      </c>
      <c r="BC43" s="680">
        <f>-BC42</f>
        <v/>
      </c>
      <c r="BD43" s="680">
        <f>-BD42</f>
        <v/>
      </c>
      <c r="BE43" s="680">
        <f>-BE42</f>
        <v/>
      </c>
      <c r="BH43" s="680">
        <f>-BH42</f>
        <v/>
      </c>
      <c r="BI43" s="680">
        <f>-BI42</f>
        <v/>
      </c>
      <c r="BJ43" s="680">
        <f>-BJ42</f>
        <v/>
      </c>
      <c r="BK43" s="680">
        <f>-BK42</f>
        <v/>
      </c>
      <c r="BL43" s="680">
        <f>-BL42</f>
        <v/>
      </c>
      <c r="BM43" s="680">
        <f>-BM42</f>
        <v/>
      </c>
      <c r="BN43" s="680">
        <f>-BN42</f>
        <v/>
      </c>
      <c r="BO43" s="680">
        <f>-BO42</f>
        <v/>
      </c>
      <c r="BP43" s="680">
        <f>-BP42</f>
        <v/>
      </c>
      <c r="BQ43" s="680">
        <f>-BQ42</f>
        <v/>
      </c>
      <c r="BR43" s="680">
        <f>-BR42</f>
        <v/>
      </c>
      <c r="BS43" s="680">
        <f>-BS42</f>
        <v/>
      </c>
    </row>
    <row r="44">
      <c r="A44" s="676" t="n">
        <v>0</v>
      </c>
      <c r="C44" s="680" t="n"/>
      <c r="D44" s="680" t="n">
        <v>0</v>
      </c>
      <c r="E44" s="680" t="n">
        <v>0</v>
      </c>
      <c r="F44" s="680" t="n">
        <v>0</v>
      </c>
      <c r="G44" s="680" t="n">
        <v>0</v>
      </c>
      <c r="H44" s="680" t="n">
        <v>0</v>
      </c>
      <c r="I44" s="680" t="n">
        <v>0</v>
      </c>
      <c r="J44" s="680" t="n">
        <v>0</v>
      </c>
      <c r="K44" s="680" t="n">
        <v>0</v>
      </c>
      <c r="L44" s="680" t="n">
        <v>0</v>
      </c>
      <c r="M44" s="680" t="n">
        <v>0</v>
      </c>
      <c r="N44" s="680" t="n">
        <v>0</v>
      </c>
      <c r="O44" s="680" t="n">
        <v>0</v>
      </c>
      <c r="P44" s="680" t="n"/>
      <c r="Q44" s="680" t="n"/>
      <c r="R44" s="681" t="n"/>
      <c r="S44" s="681" t="n"/>
      <c r="T44" s="681" t="n"/>
      <c r="U44" s="681" t="n"/>
      <c r="V44" s="681" t="n"/>
      <c r="W44" s="681" t="n"/>
      <c r="X44" s="681" t="n"/>
      <c r="Y44" s="681" t="n"/>
      <c r="Z44" s="681" t="n"/>
      <c r="AA44" s="681" t="n"/>
      <c r="AB44" s="681" t="n"/>
      <c r="AC44" s="681" t="n"/>
      <c r="AD44" s="681" t="n"/>
      <c r="AE44" s="681" t="n"/>
      <c r="AF44" s="681" t="n"/>
      <c r="AG44" s="681" t="n"/>
      <c r="AH44" s="681" t="n"/>
      <c r="AI44" s="681" t="n"/>
      <c r="AJ44" s="681" t="n"/>
      <c r="AK44" s="681" t="n"/>
      <c r="AL44" s="681" t="n"/>
      <c r="AM44" s="681" t="n"/>
      <c r="AN44" s="681" t="n"/>
      <c r="AO44" s="681" t="n"/>
      <c r="AP44" s="681" t="n"/>
      <c r="AQ44" s="681" t="n"/>
      <c r="AR44" s="681" t="n"/>
      <c r="AU44" s="681" t="n"/>
      <c r="AV44" s="681" t="n"/>
      <c r="AW44" s="681" t="n"/>
      <c r="AX44" s="681" t="n"/>
      <c r="AY44" s="681" t="n"/>
      <c r="AZ44" s="681" t="n"/>
      <c r="BA44" s="681" t="n"/>
      <c r="BB44" s="681" t="n"/>
      <c r="BC44" s="681" t="n"/>
      <c r="BD44" s="681" t="n"/>
      <c r="BE44" s="681" t="n"/>
      <c r="BI44" s="681" t="n"/>
      <c r="BJ44" s="681" t="n"/>
      <c r="BK44" s="681" t="n"/>
      <c r="BL44" s="681" t="n"/>
      <c r="BM44" s="681" t="n"/>
      <c r="BN44" s="681" t="n"/>
      <c r="BO44" s="681" t="n"/>
      <c r="BP44" s="681" t="n"/>
      <c r="BQ44" s="681" t="n"/>
      <c r="BR44" s="681" t="n"/>
      <c r="BS44" s="681" t="n"/>
    </row>
    <row r="45">
      <c r="A45" s="676" t="inlineStr">
        <is>
          <t>Marketing</t>
        </is>
      </c>
      <c r="C45" s="680" t="n"/>
      <c r="D45" s="680">
        <f>Calc!C46</f>
        <v/>
      </c>
      <c r="E45" s="680">
        <f>Calc!D46</f>
        <v/>
      </c>
      <c r="F45" s="680">
        <f>Calc!E46</f>
        <v/>
      </c>
      <c r="G45" s="680">
        <f>Calc!F46</f>
        <v/>
      </c>
      <c r="H45" s="680">
        <f>Calc!G46</f>
        <v/>
      </c>
      <c r="I45" s="680">
        <f>Calc!H46</f>
        <v/>
      </c>
      <c r="J45" s="680">
        <f>Calc!I46</f>
        <v/>
      </c>
      <c r="K45" s="680">
        <f>Calc!J46</f>
        <v/>
      </c>
      <c r="L45" s="680">
        <f>Calc!K46</f>
        <v/>
      </c>
      <c r="M45" s="680">
        <f>Calc!L46</f>
        <v/>
      </c>
      <c r="N45" s="680">
        <f>Calc!M46</f>
        <v/>
      </c>
      <c r="O45" s="680">
        <f>Calc!N46</f>
        <v/>
      </c>
      <c r="P45" s="680" t="n"/>
      <c r="Q45" s="680" t="n"/>
      <c r="R45" s="680">
        <f>Calc!P46/12</f>
        <v/>
      </c>
      <c r="S45" s="680">
        <f>R45</f>
        <v/>
      </c>
      <c r="T45" s="680">
        <f>S45</f>
        <v/>
      </c>
      <c r="U45" s="680">
        <f>T45</f>
        <v/>
      </c>
      <c r="V45" s="680">
        <f>U45</f>
        <v/>
      </c>
      <c r="W45" s="680">
        <f>V45</f>
        <v/>
      </c>
      <c r="X45" s="680">
        <f>W45</f>
        <v/>
      </c>
      <c r="Y45" s="680">
        <f>X45</f>
        <v/>
      </c>
      <c r="Z45" s="680">
        <f>Y45</f>
        <v/>
      </c>
      <c r="AA45" s="680">
        <f>Z45</f>
        <v/>
      </c>
      <c r="AB45" s="680">
        <f>AA45</f>
        <v/>
      </c>
      <c r="AC45" s="680">
        <f>AB45</f>
        <v/>
      </c>
      <c r="AD45" s="681" t="n"/>
      <c r="AE45" s="681" t="n"/>
      <c r="AF45" s="680">
        <f>Calc!Q46/12</f>
        <v/>
      </c>
      <c r="AG45" s="680">
        <f>AF45</f>
        <v/>
      </c>
      <c r="AH45" s="680">
        <f>AG45</f>
        <v/>
      </c>
      <c r="AI45" s="680">
        <f>AH45</f>
        <v/>
      </c>
      <c r="AJ45" s="680">
        <f>AI45</f>
        <v/>
      </c>
      <c r="AK45" s="680">
        <f>AJ45</f>
        <v/>
      </c>
      <c r="AL45" s="680">
        <f>AK45</f>
        <v/>
      </c>
      <c r="AM45" s="680">
        <f>AL45</f>
        <v/>
      </c>
      <c r="AN45" s="680">
        <f>AM45</f>
        <v/>
      </c>
      <c r="AO45" s="680">
        <f>AN45</f>
        <v/>
      </c>
      <c r="AP45" s="680">
        <f>AO45</f>
        <v/>
      </c>
      <c r="AQ45" s="680">
        <f>AP45</f>
        <v/>
      </c>
      <c r="AR45" s="681" t="n"/>
      <c r="AT45" s="680">
        <f>Calc!R46/12</f>
        <v/>
      </c>
      <c r="AU45" s="680">
        <f>AT45</f>
        <v/>
      </c>
      <c r="AV45" s="680">
        <f>AU45</f>
        <v/>
      </c>
      <c r="AW45" s="680">
        <f>AV45</f>
        <v/>
      </c>
      <c r="AX45" s="680">
        <f>AW45</f>
        <v/>
      </c>
      <c r="AY45" s="680">
        <f>AX45</f>
        <v/>
      </c>
      <c r="AZ45" s="680">
        <f>AY45</f>
        <v/>
      </c>
      <c r="BA45" s="680">
        <f>AZ45</f>
        <v/>
      </c>
      <c r="BB45" s="680">
        <f>BA45</f>
        <v/>
      </c>
      <c r="BC45" s="680">
        <f>BB45</f>
        <v/>
      </c>
      <c r="BD45" s="680">
        <f>BC45</f>
        <v/>
      </c>
      <c r="BE45" s="680">
        <f>BD45</f>
        <v/>
      </c>
      <c r="BH45" s="680">
        <f>Calc!S46/12</f>
        <v/>
      </c>
      <c r="BI45" s="680">
        <f>BH45</f>
        <v/>
      </c>
      <c r="BJ45" s="680">
        <f>BI45</f>
        <v/>
      </c>
      <c r="BK45" s="680">
        <f>BJ45</f>
        <v/>
      </c>
      <c r="BL45" s="680">
        <f>BK45</f>
        <v/>
      </c>
      <c r="BM45" s="680">
        <f>BL45</f>
        <v/>
      </c>
      <c r="BN45" s="680">
        <f>BM45</f>
        <v/>
      </c>
      <c r="BO45" s="680">
        <f>BN45</f>
        <v/>
      </c>
      <c r="BP45" s="680">
        <f>BO45</f>
        <v/>
      </c>
      <c r="BQ45" s="680">
        <f>BP45</f>
        <v/>
      </c>
      <c r="BR45" s="680">
        <f>BQ45</f>
        <v/>
      </c>
      <c r="BS45" s="680">
        <f>BR45</f>
        <v/>
      </c>
    </row>
    <row r="46">
      <c r="A46" s="676" t="inlineStr">
        <is>
          <t>Cash in hand and at bank</t>
        </is>
      </c>
      <c r="C46" s="680" t="n"/>
      <c r="D46" s="680">
        <f>-D45</f>
        <v/>
      </c>
      <c r="E46" s="680">
        <f>-E45</f>
        <v/>
      </c>
      <c r="F46" s="680">
        <f>-F45</f>
        <v/>
      </c>
      <c r="G46" s="680">
        <f>-G45</f>
        <v/>
      </c>
      <c r="H46" s="680">
        <f>-H45</f>
        <v/>
      </c>
      <c r="I46" s="680">
        <f>-I45</f>
        <v/>
      </c>
      <c r="J46" s="680">
        <f>-J45</f>
        <v/>
      </c>
      <c r="K46" s="680">
        <f>-K45</f>
        <v/>
      </c>
      <c r="L46" s="680">
        <f>-L45</f>
        <v/>
      </c>
      <c r="M46" s="680">
        <f>-M45</f>
        <v/>
      </c>
      <c r="N46" s="680">
        <f>-N45</f>
        <v/>
      </c>
      <c r="O46" s="680">
        <f>-O45</f>
        <v/>
      </c>
      <c r="P46" s="680" t="n"/>
      <c r="Q46" s="680" t="n"/>
      <c r="R46" s="680">
        <f>-R45</f>
        <v/>
      </c>
      <c r="S46" s="680">
        <f>-S45</f>
        <v/>
      </c>
      <c r="T46" s="680">
        <f>-T45</f>
        <v/>
      </c>
      <c r="U46" s="680">
        <f>-U45</f>
        <v/>
      </c>
      <c r="V46" s="680">
        <f>-V45</f>
        <v/>
      </c>
      <c r="W46" s="680">
        <f>-W45</f>
        <v/>
      </c>
      <c r="X46" s="680">
        <f>-X45</f>
        <v/>
      </c>
      <c r="Y46" s="680">
        <f>-Y45</f>
        <v/>
      </c>
      <c r="Z46" s="680">
        <f>-Z45</f>
        <v/>
      </c>
      <c r="AA46" s="680">
        <f>-AA45</f>
        <v/>
      </c>
      <c r="AB46" s="680">
        <f>-AB45</f>
        <v/>
      </c>
      <c r="AC46" s="680">
        <f>-AC45</f>
        <v/>
      </c>
      <c r="AD46" s="681" t="n"/>
      <c r="AE46" s="681" t="n"/>
      <c r="AF46" s="680">
        <f>-AF45</f>
        <v/>
      </c>
      <c r="AG46" s="680">
        <f>-AG45</f>
        <v/>
      </c>
      <c r="AH46" s="680">
        <f>-AH45</f>
        <v/>
      </c>
      <c r="AI46" s="680">
        <f>-AI45</f>
        <v/>
      </c>
      <c r="AJ46" s="680">
        <f>-AJ45</f>
        <v/>
      </c>
      <c r="AK46" s="680">
        <f>-AK45</f>
        <v/>
      </c>
      <c r="AL46" s="680">
        <f>-AL45</f>
        <v/>
      </c>
      <c r="AM46" s="680">
        <f>-AM45</f>
        <v/>
      </c>
      <c r="AN46" s="680">
        <f>-AN45</f>
        <v/>
      </c>
      <c r="AO46" s="680">
        <f>-AO45</f>
        <v/>
      </c>
      <c r="AP46" s="680">
        <f>-AP45</f>
        <v/>
      </c>
      <c r="AQ46" s="680">
        <f>-AQ45</f>
        <v/>
      </c>
      <c r="AR46" s="681" t="n"/>
      <c r="AT46" s="680">
        <f>-AT45</f>
        <v/>
      </c>
      <c r="AU46" s="680">
        <f>-AU45</f>
        <v/>
      </c>
      <c r="AV46" s="680">
        <f>-AV45</f>
        <v/>
      </c>
      <c r="AW46" s="680">
        <f>-AW45</f>
        <v/>
      </c>
      <c r="AX46" s="680">
        <f>-AX45</f>
        <v/>
      </c>
      <c r="AY46" s="680">
        <f>-AY45</f>
        <v/>
      </c>
      <c r="AZ46" s="680">
        <f>-AZ45</f>
        <v/>
      </c>
      <c r="BA46" s="680">
        <f>-BA45</f>
        <v/>
      </c>
      <c r="BB46" s="680">
        <f>-BB45</f>
        <v/>
      </c>
      <c r="BC46" s="680">
        <f>-BC45</f>
        <v/>
      </c>
      <c r="BD46" s="680">
        <f>-BD45</f>
        <v/>
      </c>
      <c r="BE46" s="680">
        <f>-BE45</f>
        <v/>
      </c>
      <c r="BH46" s="680">
        <f>-BH45</f>
        <v/>
      </c>
      <c r="BI46" s="680">
        <f>-BI45</f>
        <v/>
      </c>
      <c r="BJ46" s="680">
        <f>-BJ45</f>
        <v/>
      </c>
      <c r="BK46" s="680">
        <f>-BK45</f>
        <v/>
      </c>
      <c r="BL46" s="680">
        <f>-BL45</f>
        <v/>
      </c>
      <c r="BM46" s="680">
        <f>-BM45</f>
        <v/>
      </c>
      <c r="BN46" s="680">
        <f>-BN45</f>
        <v/>
      </c>
      <c r="BO46" s="680">
        <f>-BO45</f>
        <v/>
      </c>
      <c r="BP46" s="680">
        <f>-BP45</f>
        <v/>
      </c>
      <c r="BQ46" s="680">
        <f>-BQ45</f>
        <v/>
      </c>
      <c r="BR46" s="680">
        <f>-BR45</f>
        <v/>
      </c>
      <c r="BS46" s="680">
        <f>-BS45</f>
        <v/>
      </c>
    </row>
    <row r="47">
      <c r="A47" s="676" t="n">
        <v>0</v>
      </c>
      <c r="C47" s="680" t="n"/>
      <c r="D47" s="680" t="n">
        <v>0</v>
      </c>
      <c r="E47" s="680" t="n">
        <v>0</v>
      </c>
      <c r="F47" s="680" t="n">
        <v>0</v>
      </c>
      <c r="G47" s="680" t="n">
        <v>0</v>
      </c>
      <c r="H47" s="680" t="n">
        <v>0</v>
      </c>
      <c r="I47" s="680" t="n">
        <v>0</v>
      </c>
      <c r="J47" s="680" t="n">
        <v>0</v>
      </c>
      <c r="K47" s="680" t="n">
        <v>0</v>
      </c>
      <c r="L47" s="680" t="n">
        <v>0</v>
      </c>
      <c r="M47" s="680" t="n">
        <v>0</v>
      </c>
      <c r="N47" s="680" t="n">
        <v>0</v>
      </c>
      <c r="O47" s="680" t="n">
        <v>0</v>
      </c>
      <c r="P47" s="680" t="n"/>
      <c r="Q47" s="680" t="n"/>
      <c r="R47" s="681" t="n"/>
      <c r="S47" s="681" t="n"/>
      <c r="T47" s="681" t="n"/>
      <c r="U47" s="681" t="n"/>
      <c r="V47" s="681" t="n"/>
      <c r="W47" s="681" t="n"/>
      <c r="X47" s="681" t="n"/>
      <c r="Y47" s="681" t="n"/>
      <c r="Z47" s="681" t="n"/>
      <c r="AA47" s="681" t="n"/>
      <c r="AB47" s="681" t="n"/>
      <c r="AC47" s="681" t="n"/>
      <c r="AD47" s="681" t="n"/>
      <c r="AE47" s="681" t="n"/>
      <c r="AF47" s="681" t="n"/>
      <c r="AG47" s="681" t="n"/>
      <c r="AH47" s="681" t="n"/>
      <c r="AI47" s="681" t="n"/>
      <c r="AJ47" s="681" t="n"/>
      <c r="AK47" s="681" t="n"/>
      <c r="AL47" s="681" t="n"/>
      <c r="AM47" s="681" t="n"/>
      <c r="AN47" s="681" t="n"/>
      <c r="AO47" s="681" t="n"/>
      <c r="AP47" s="681" t="n"/>
      <c r="AQ47" s="681" t="n"/>
      <c r="AR47" s="681" t="n"/>
      <c r="AU47" s="681" t="n"/>
      <c r="AV47" s="681" t="n"/>
      <c r="AW47" s="681" t="n"/>
      <c r="AX47" s="681" t="n"/>
      <c r="AY47" s="681" t="n"/>
      <c r="AZ47" s="681" t="n"/>
      <c r="BA47" s="681" t="n"/>
      <c r="BB47" s="681" t="n"/>
      <c r="BC47" s="681" t="n"/>
      <c r="BD47" s="681" t="n"/>
      <c r="BE47" s="681" t="n"/>
      <c r="BI47" s="681" t="n"/>
      <c r="BJ47" s="681" t="n"/>
      <c r="BK47" s="681" t="n"/>
      <c r="BL47" s="681" t="n"/>
      <c r="BM47" s="681" t="n"/>
      <c r="BN47" s="681" t="n"/>
      <c r="BO47" s="681" t="n"/>
      <c r="BP47" s="681" t="n"/>
      <c r="BQ47" s="681" t="n"/>
      <c r="BR47" s="681" t="n"/>
      <c r="BS47" s="681" t="n"/>
    </row>
    <row r="48">
      <c r="A48" s="676" t="inlineStr">
        <is>
          <t>Admin Costs</t>
        </is>
      </c>
      <c r="C48" s="680" t="n"/>
      <c r="D48" s="680">
        <f>Calc!C47</f>
        <v/>
      </c>
      <c r="E48" s="680">
        <f>Calc!D47</f>
        <v/>
      </c>
      <c r="F48" s="680">
        <f>Calc!E47</f>
        <v/>
      </c>
      <c r="G48" s="680">
        <f>Calc!F47</f>
        <v/>
      </c>
      <c r="H48" s="680">
        <f>Calc!G47</f>
        <v/>
      </c>
      <c r="I48" s="680">
        <f>Calc!H47</f>
        <v/>
      </c>
      <c r="J48" s="680">
        <f>Calc!I47</f>
        <v/>
      </c>
      <c r="K48" s="680">
        <f>Calc!J47</f>
        <v/>
      </c>
      <c r="L48" s="680">
        <f>Calc!K47</f>
        <v/>
      </c>
      <c r="M48" s="680">
        <f>Calc!L47</f>
        <v/>
      </c>
      <c r="N48" s="680">
        <f>Calc!M47</f>
        <v/>
      </c>
      <c r="O48" s="680">
        <f>Calc!N47</f>
        <v/>
      </c>
      <c r="P48" s="680" t="n"/>
      <c r="Q48" s="680" t="n"/>
      <c r="R48" s="680">
        <f>Calc!P47/12</f>
        <v/>
      </c>
      <c r="S48" s="680">
        <f>R48</f>
        <v/>
      </c>
      <c r="T48" s="680">
        <f>S48</f>
        <v/>
      </c>
      <c r="U48" s="680">
        <f>T48</f>
        <v/>
      </c>
      <c r="V48" s="680">
        <f>U48</f>
        <v/>
      </c>
      <c r="W48" s="680">
        <f>V48</f>
        <v/>
      </c>
      <c r="X48" s="680">
        <f>W48</f>
        <v/>
      </c>
      <c r="Y48" s="680">
        <f>X48</f>
        <v/>
      </c>
      <c r="Z48" s="680">
        <f>Y48</f>
        <v/>
      </c>
      <c r="AA48" s="680">
        <f>Z48</f>
        <v/>
      </c>
      <c r="AB48" s="680">
        <f>AA48</f>
        <v/>
      </c>
      <c r="AC48" s="680">
        <f>AB48</f>
        <v/>
      </c>
      <c r="AD48" s="681" t="n"/>
      <c r="AE48" s="681" t="n"/>
      <c r="AF48" s="680">
        <f>Calc!Q47/12</f>
        <v/>
      </c>
      <c r="AG48" s="680">
        <f>AF48</f>
        <v/>
      </c>
      <c r="AH48" s="680">
        <f>AG48</f>
        <v/>
      </c>
      <c r="AI48" s="680">
        <f>AH48</f>
        <v/>
      </c>
      <c r="AJ48" s="680">
        <f>AI48</f>
        <v/>
      </c>
      <c r="AK48" s="680">
        <f>AJ48</f>
        <v/>
      </c>
      <c r="AL48" s="680">
        <f>AK48</f>
        <v/>
      </c>
      <c r="AM48" s="680">
        <f>AL48</f>
        <v/>
      </c>
      <c r="AN48" s="680">
        <f>AM48</f>
        <v/>
      </c>
      <c r="AO48" s="680">
        <f>AN48</f>
        <v/>
      </c>
      <c r="AP48" s="680">
        <f>AO48</f>
        <v/>
      </c>
      <c r="AQ48" s="680">
        <f>AP48</f>
        <v/>
      </c>
      <c r="AR48" s="681" t="n"/>
      <c r="AT48" s="680">
        <f>Calc!R47/12</f>
        <v/>
      </c>
      <c r="AU48" s="680">
        <f>AT48</f>
        <v/>
      </c>
      <c r="AV48" s="680">
        <f>AU48</f>
        <v/>
      </c>
      <c r="AW48" s="680">
        <f>AV48</f>
        <v/>
      </c>
      <c r="AX48" s="680">
        <f>AW48</f>
        <v/>
      </c>
      <c r="AY48" s="680">
        <f>AX48</f>
        <v/>
      </c>
      <c r="AZ48" s="680">
        <f>AY48</f>
        <v/>
      </c>
      <c r="BA48" s="680">
        <f>AZ48</f>
        <v/>
      </c>
      <c r="BB48" s="680">
        <f>BA48</f>
        <v/>
      </c>
      <c r="BC48" s="680">
        <f>BB48</f>
        <v/>
      </c>
      <c r="BD48" s="680">
        <f>BC48</f>
        <v/>
      </c>
      <c r="BE48" s="680">
        <f>BD48</f>
        <v/>
      </c>
      <c r="BH48" s="680">
        <f>Calc!S47/12</f>
        <v/>
      </c>
      <c r="BI48" s="680">
        <f>BH48</f>
        <v/>
      </c>
      <c r="BJ48" s="680">
        <f>BI48</f>
        <v/>
      </c>
      <c r="BK48" s="680">
        <f>BJ48</f>
        <v/>
      </c>
      <c r="BL48" s="680">
        <f>BK48</f>
        <v/>
      </c>
      <c r="BM48" s="680">
        <f>BL48</f>
        <v/>
      </c>
      <c r="BN48" s="680">
        <f>BM48</f>
        <v/>
      </c>
      <c r="BO48" s="680">
        <f>BN48</f>
        <v/>
      </c>
      <c r="BP48" s="680">
        <f>BO48</f>
        <v/>
      </c>
      <c r="BQ48" s="680">
        <f>BP48</f>
        <v/>
      </c>
      <c r="BR48" s="680">
        <f>BQ48</f>
        <v/>
      </c>
      <c r="BS48" s="680">
        <f>BR48</f>
        <v/>
      </c>
    </row>
    <row r="49">
      <c r="A49" s="676" t="inlineStr">
        <is>
          <t>Cash in hand and at bank</t>
        </is>
      </c>
      <c r="C49" s="680" t="n"/>
      <c r="D49" s="680">
        <f>-D48</f>
        <v/>
      </c>
      <c r="E49" s="680">
        <f>-E48</f>
        <v/>
      </c>
      <c r="F49" s="680">
        <f>-F48</f>
        <v/>
      </c>
      <c r="G49" s="680">
        <f>-G48</f>
        <v/>
      </c>
      <c r="H49" s="680">
        <f>-H48</f>
        <v/>
      </c>
      <c r="I49" s="680">
        <f>-I48</f>
        <v/>
      </c>
      <c r="J49" s="680">
        <f>-J48</f>
        <v/>
      </c>
      <c r="K49" s="680">
        <f>-K48</f>
        <v/>
      </c>
      <c r="L49" s="680">
        <f>-L48</f>
        <v/>
      </c>
      <c r="M49" s="680">
        <f>-M48</f>
        <v/>
      </c>
      <c r="N49" s="680">
        <f>-N48</f>
        <v/>
      </c>
      <c r="O49" s="680">
        <f>-O48</f>
        <v/>
      </c>
      <c r="P49" s="680" t="n"/>
      <c r="Q49" s="680" t="n"/>
      <c r="R49" s="680">
        <f>-R48</f>
        <v/>
      </c>
      <c r="S49" s="680">
        <f>-S48</f>
        <v/>
      </c>
      <c r="T49" s="680">
        <f>-T48</f>
        <v/>
      </c>
      <c r="U49" s="680">
        <f>-U48</f>
        <v/>
      </c>
      <c r="V49" s="680">
        <f>-V48</f>
        <v/>
      </c>
      <c r="W49" s="680">
        <f>-W48</f>
        <v/>
      </c>
      <c r="X49" s="680">
        <f>-X48</f>
        <v/>
      </c>
      <c r="Y49" s="680">
        <f>-Y48</f>
        <v/>
      </c>
      <c r="Z49" s="680">
        <f>-Z48</f>
        <v/>
      </c>
      <c r="AA49" s="680">
        <f>-AA48</f>
        <v/>
      </c>
      <c r="AB49" s="680">
        <f>-AB48</f>
        <v/>
      </c>
      <c r="AC49" s="680">
        <f>-AC48</f>
        <v/>
      </c>
      <c r="AD49" s="681" t="n"/>
      <c r="AE49" s="681" t="n"/>
      <c r="AF49" s="680">
        <f>-AF48</f>
        <v/>
      </c>
      <c r="AG49" s="680">
        <f>-AG48</f>
        <v/>
      </c>
      <c r="AH49" s="680">
        <f>-AH48</f>
        <v/>
      </c>
      <c r="AI49" s="680">
        <f>-AI48</f>
        <v/>
      </c>
      <c r="AJ49" s="680">
        <f>-AJ48</f>
        <v/>
      </c>
      <c r="AK49" s="680">
        <f>-AK48</f>
        <v/>
      </c>
      <c r="AL49" s="680">
        <f>-AL48</f>
        <v/>
      </c>
      <c r="AM49" s="680">
        <f>-AM48</f>
        <v/>
      </c>
      <c r="AN49" s="680">
        <f>-AN48</f>
        <v/>
      </c>
      <c r="AO49" s="680">
        <f>-AO48</f>
        <v/>
      </c>
      <c r="AP49" s="680">
        <f>-AP48</f>
        <v/>
      </c>
      <c r="AQ49" s="680">
        <f>-AQ48</f>
        <v/>
      </c>
      <c r="AR49" s="681" t="n"/>
      <c r="AT49" s="680">
        <f>-AT48</f>
        <v/>
      </c>
      <c r="AU49" s="680">
        <f>-AU48</f>
        <v/>
      </c>
      <c r="AV49" s="680">
        <f>-AV48</f>
        <v/>
      </c>
      <c r="AW49" s="680">
        <f>-AW48</f>
        <v/>
      </c>
      <c r="AX49" s="680">
        <f>-AX48</f>
        <v/>
      </c>
      <c r="AY49" s="680">
        <f>-AY48</f>
        <v/>
      </c>
      <c r="AZ49" s="680">
        <f>-AZ48</f>
        <v/>
      </c>
      <c r="BA49" s="680">
        <f>-BA48</f>
        <v/>
      </c>
      <c r="BB49" s="680">
        <f>-BB48</f>
        <v/>
      </c>
      <c r="BC49" s="680">
        <f>-BC48</f>
        <v/>
      </c>
      <c r="BD49" s="680">
        <f>-BD48</f>
        <v/>
      </c>
      <c r="BE49" s="680">
        <f>-BE48</f>
        <v/>
      </c>
      <c r="BH49" s="680">
        <f>-BH48</f>
        <v/>
      </c>
      <c r="BI49" s="680">
        <f>-BI48</f>
        <v/>
      </c>
      <c r="BJ49" s="680">
        <f>-BJ48</f>
        <v/>
      </c>
      <c r="BK49" s="680">
        <f>-BK48</f>
        <v/>
      </c>
      <c r="BL49" s="680">
        <f>-BL48</f>
        <v/>
      </c>
      <c r="BM49" s="680">
        <f>-BM48</f>
        <v/>
      </c>
      <c r="BN49" s="680">
        <f>-BN48</f>
        <v/>
      </c>
      <c r="BO49" s="680">
        <f>-BO48</f>
        <v/>
      </c>
      <c r="BP49" s="680">
        <f>-BP48</f>
        <v/>
      </c>
      <c r="BQ49" s="680">
        <f>-BQ48</f>
        <v/>
      </c>
      <c r="BR49" s="680">
        <f>-BR48</f>
        <v/>
      </c>
      <c r="BS49" s="680">
        <f>-BS48</f>
        <v/>
      </c>
    </row>
    <row r="50">
      <c r="A50" s="676" t="n">
        <v>0</v>
      </c>
      <c r="C50" s="680" t="n"/>
      <c r="D50" s="680" t="n">
        <v>0</v>
      </c>
      <c r="E50" s="680" t="n">
        <v>0</v>
      </c>
      <c r="F50" s="680" t="n">
        <v>0</v>
      </c>
      <c r="G50" s="680" t="n">
        <v>0</v>
      </c>
      <c r="H50" s="680" t="n">
        <v>0</v>
      </c>
      <c r="I50" s="680" t="n">
        <v>0</v>
      </c>
      <c r="J50" s="680" t="n">
        <v>0</v>
      </c>
      <c r="K50" s="680" t="n">
        <v>0</v>
      </c>
      <c r="L50" s="680" t="n">
        <v>0</v>
      </c>
      <c r="M50" s="680" t="n">
        <v>0</v>
      </c>
      <c r="N50" s="680" t="n">
        <v>0</v>
      </c>
      <c r="O50" s="680" t="n">
        <v>0</v>
      </c>
      <c r="P50" s="680" t="n"/>
      <c r="Q50" s="680" t="n"/>
      <c r="R50" s="681" t="n"/>
      <c r="S50" s="681" t="n"/>
      <c r="T50" s="681" t="n"/>
      <c r="U50" s="681" t="n"/>
      <c r="V50" s="681" t="n"/>
      <c r="W50" s="681" t="n"/>
      <c r="X50" s="681" t="n"/>
      <c r="Y50" s="681" t="n"/>
      <c r="Z50" s="681" t="n"/>
      <c r="AA50" s="681" t="n"/>
      <c r="AB50" s="681" t="n"/>
      <c r="AC50" s="681" t="n"/>
      <c r="AD50" s="681" t="n"/>
      <c r="AE50" s="681" t="n"/>
      <c r="AF50" s="681" t="n"/>
      <c r="AG50" s="681" t="n"/>
      <c r="AH50" s="681" t="n"/>
      <c r="AI50" s="681" t="n"/>
      <c r="AJ50" s="681" t="n"/>
      <c r="AK50" s="681" t="n"/>
      <c r="AL50" s="681" t="n"/>
      <c r="AM50" s="681" t="n"/>
      <c r="AN50" s="681" t="n"/>
      <c r="AO50" s="681" t="n"/>
      <c r="AP50" s="681" t="n"/>
      <c r="AQ50" s="681" t="n"/>
      <c r="AR50" s="681" t="n"/>
      <c r="AU50" s="681" t="n"/>
      <c r="AV50" s="681" t="n"/>
      <c r="AW50" s="681" t="n"/>
      <c r="AX50" s="681" t="n"/>
      <c r="AY50" s="681" t="n"/>
      <c r="AZ50" s="681" t="n"/>
      <c r="BA50" s="681" t="n"/>
      <c r="BB50" s="681" t="n"/>
      <c r="BC50" s="681" t="n"/>
      <c r="BD50" s="681" t="n"/>
      <c r="BE50" s="681" t="n"/>
      <c r="BI50" s="681" t="n"/>
      <c r="BJ50" s="681" t="n"/>
      <c r="BK50" s="681" t="n"/>
      <c r="BL50" s="681" t="n"/>
      <c r="BM50" s="681" t="n"/>
      <c r="BN50" s="681" t="n"/>
      <c r="BO50" s="681" t="n"/>
      <c r="BP50" s="681" t="n"/>
      <c r="BQ50" s="681" t="n"/>
      <c r="BR50" s="681" t="n"/>
      <c r="BS50" s="681" t="n"/>
    </row>
    <row r="51">
      <c r="A51" s="676" t="inlineStr">
        <is>
          <t xml:space="preserve">Fibre optic lease </t>
        </is>
      </c>
      <c r="C51" s="680" t="n"/>
      <c r="D51" s="680">
        <f>Calc!C48</f>
        <v/>
      </c>
      <c r="E51" s="680">
        <f>Calc!D48</f>
        <v/>
      </c>
      <c r="F51" s="680">
        <f>Calc!E48</f>
        <v/>
      </c>
      <c r="G51" s="680">
        <f>Calc!F48</f>
        <v/>
      </c>
      <c r="H51" s="680">
        <f>Calc!G48</f>
        <v/>
      </c>
      <c r="I51" s="680">
        <f>Calc!H48</f>
        <v/>
      </c>
      <c r="J51" s="680">
        <f>Calc!I48</f>
        <v/>
      </c>
      <c r="K51" s="680">
        <f>Calc!J48</f>
        <v/>
      </c>
      <c r="L51" s="680">
        <f>Calc!K48</f>
        <v/>
      </c>
      <c r="M51" s="680">
        <f>Calc!L48</f>
        <v/>
      </c>
      <c r="N51" s="680">
        <f>Calc!M48</f>
        <v/>
      </c>
      <c r="O51" s="680">
        <f>Calc!N48</f>
        <v/>
      </c>
      <c r="P51" s="680" t="n"/>
      <c r="Q51" s="680" t="n"/>
      <c r="R51" s="680">
        <f>Calc!P48/12</f>
        <v/>
      </c>
      <c r="S51" s="680">
        <f>R51</f>
        <v/>
      </c>
      <c r="T51" s="680">
        <f>S51</f>
        <v/>
      </c>
      <c r="U51" s="680">
        <f>T51</f>
        <v/>
      </c>
      <c r="V51" s="680">
        <f>U51</f>
        <v/>
      </c>
      <c r="W51" s="680">
        <f>V51</f>
        <v/>
      </c>
      <c r="X51" s="680">
        <f>W51</f>
        <v/>
      </c>
      <c r="Y51" s="680">
        <f>X51</f>
        <v/>
      </c>
      <c r="Z51" s="680">
        <f>Y51</f>
        <v/>
      </c>
      <c r="AA51" s="680">
        <f>Z51</f>
        <v/>
      </c>
      <c r="AB51" s="680">
        <f>AA51</f>
        <v/>
      </c>
      <c r="AC51" s="680">
        <f>AB51</f>
        <v/>
      </c>
      <c r="AD51" s="681" t="n"/>
      <c r="AE51" s="681" t="n"/>
      <c r="AF51" s="680">
        <f>Calc!Q48/12</f>
        <v/>
      </c>
      <c r="AG51" s="680">
        <f>AF51</f>
        <v/>
      </c>
      <c r="AH51" s="680">
        <f>AG51</f>
        <v/>
      </c>
      <c r="AI51" s="680">
        <f>AH51</f>
        <v/>
      </c>
      <c r="AJ51" s="680">
        <f>AI51</f>
        <v/>
      </c>
      <c r="AK51" s="680">
        <f>AJ51</f>
        <v/>
      </c>
      <c r="AL51" s="680">
        <f>AK51</f>
        <v/>
      </c>
      <c r="AM51" s="680">
        <f>AL51</f>
        <v/>
      </c>
      <c r="AN51" s="680">
        <f>AM51</f>
        <v/>
      </c>
      <c r="AO51" s="680">
        <f>AN51</f>
        <v/>
      </c>
      <c r="AP51" s="680">
        <f>AO51</f>
        <v/>
      </c>
      <c r="AQ51" s="680">
        <f>AP51</f>
        <v/>
      </c>
      <c r="AR51" s="681" t="n"/>
      <c r="AT51" s="680">
        <f>Calc!R48/12</f>
        <v/>
      </c>
      <c r="AU51" s="680">
        <f>AT51</f>
        <v/>
      </c>
      <c r="AV51" s="680">
        <f>AU51</f>
        <v/>
      </c>
      <c r="AW51" s="680">
        <f>AV51</f>
        <v/>
      </c>
      <c r="AX51" s="680">
        <f>AW51</f>
        <v/>
      </c>
      <c r="AY51" s="680">
        <f>AX51</f>
        <v/>
      </c>
      <c r="AZ51" s="680">
        <f>AY51</f>
        <v/>
      </c>
      <c r="BA51" s="680">
        <f>AZ51</f>
        <v/>
      </c>
      <c r="BB51" s="680">
        <f>BA51</f>
        <v/>
      </c>
      <c r="BC51" s="680">
        <f>BB51</f>
        <v/>
      </c>
      <c r="BD51" s="680">
        <f>BC51</f>
        <v/>
      </c>
      <c r="BE51" s="680">
        <f>BD51</f>
        <v/>
      </c>
      <c r="BH51" s="680">
        <f>Calc!S48/12</f>
        <v/>
      </c>
      <c r="BI51" s="680">
        <f>BH51</f>
        <v/>
      </c>
      <c r="BJ51" s="680">
        <f>BI51</f>
        <v/>
      </c>
      <c r="BK51" s="680">
        <f>BJ51</f>
        <v/>
      </c>
      <c r="BL51" s="680">
        <f>BK51</f>
        <v/>
      </c>
      <c r="BM51" s="680">
        <f>BL51</f>
        <v/>
      </c>
      <c r="BN51" s="680">
        <f>BM51</f>
        <v/>
      </c>
      <c r="BO51" s="680">
        <f>BN51</f>
        <v/>
      </c>
      <c r="BP51" s="680">
        <f>BO51</f>
        <v/>
      </c>
      <c r="BQ51" s="680">
        <f>BP51</f>
        <v/>
      </c>
      <c r="BR51" s="680">
        <f>BQ51</f>
        <v/>
      </c>
      <c r="BS51" s="680">
        <f>BR51</f>
        <v/>
      </c>
    </row>
    <row r="52">
      <c r="A52" s="676" t="inlineStr">
        <is>
          <t>Cash in hand and at bank</t>
        </is>
      </c>
      <c r="C52" s="680" t="n"/>
      <c r="D52" s="680">
        <f>-D51</f>
        <v/>
      </c>
      <c r="E52" s="680">
        <f>-E51</f>
        <v/>
      </c>
      <c r="F52" s="680">
        <f>-F51</f>
        <v/>
      </c>
      <c r="G52" s="680">
        <f>-G51</f>
        <v/>
      </c>
      <c r="H52" s="680">
        <f>-H51</f>
        <v/>
      </c>
      <c r="I52" s="680">
        <f>-I51</f>
        <v/>
      </c>
      <c r="J52" s="680">
        <f>-J51</f>
        <v/>
      </c>
      <c r="K52" s="680">
        <f>-K51</f>
        <v/>
      </c>
      <c r="L52" s="680">
        <f>-L51</f>
        <v/>
      </c>
      <c r="M52" s="680">
        <f>-M51</f>
        <v/>
      </c>
      <c r="N52" s="680">
        <f>-N51</f>
        <v/>
      </c>
      <c r="O52" s="680">
        <f>-O51</f>
        <v/>
      </c>
      <c r="P52" s="680" t="n"/>
      <c r="Q52" s="680" t="n"/>
      <c r="R52" s="680">
        <f>-R51</f>
        <v/>
      </c>
      <c r="S52" s="680">
        <f>-S51</f>
        <v/>
      </c>
      <c r="T52" s="680">
        <f>-T51</f>
        <v/>
      </c>
      <c r="U52" s="680">
        <f>-U51</f>
        <v/>
      </c>
      <c r="V52" s="680">
        <f>-V51</f>
        <v/>
      </c>
      <c r="W52" s="680">
        <f>-W51</f>
        <v/>
      </c>
      <c r="X52" s="680">
        <f>-X51</f>
        <v/>
      </c>
      <c r="Y52" s="680">
        <f>-Y51</f>
        <v/>
      </c>
      <c r="Z52" s="680">
        <f>-Z51</f>
        <v/>
      </c>
      <c r="AA52" s="680">
        <f>-AA51</f>
        <v/>
      </c>
      <c r="AB52" s="680">
        <f>-AB51</f>
        <v/>
      </c>
      <c r="AC52" s="680">
        <f>-AC51</f>
        <v/>
      </c>
      <c r="AD52" s="681" t="n"/>
      <c r="AE52" s="681" t="n"/>
      <c r="AF52" s="680">
        <f>-AF51</f>
        <v/>
      </c>
      <c r="AG52" s="680">
        <f>-AG51</f>
        <v/>
      </c>
      <c r="AH52" s="680">
        <f>-AH51</f>
        <v/>
      </c>
      <c r="AI52" s="680">
        <f>-AI51</f>
        <v/>
      </c>
      <c r="AJ52" s="680">
        <f>-AJ51</f>
        <v/>
      </c>
      <c r="AK52" s="680">
        <f>-AK51</f>
        <v/>
      </c>
      <c r="AL52" s="680">
        <f>-AL51</f>
        <v/>
      </c>
      <c r="AM52" s="680">
        <f>-AM51</f>
        <v/>
      </c>
      <c r="AN52" s="680">
        <f>-AN51</f>
        <v/>
      </c>
      <c r="AO52" s="680">
        <f>-AO51</f>
        <v/>
      </c>
      <c r="AP52" s="680">
        <f>-AP51</f>
        <v/>
      </c>
      <c r="AQ52" s="680">
        <f>-AQ51</f>
        <v/>
      </c>
      <c r="AR52" s="681" t="n"/>
      <c r="AT52" s="680">
        <f>-AT51</f>
        <v/>
      </c>
      <c r="AU52" s="680">
        <f>-AU51</f>
        <v/>
      </c>
      <c r="AV52" s="680">
        <f>-AV51</f>
        <v/>
      </c>
      <c r="AW52" s="680">
        <f>-AW51</f>
        <v/>
      </c>
      <c r="AX52" s="680">
        <f>-AX51</f>
        <v/>
      </c>
      <c r="AY52" s="680">
        <f>-AY51</f>
        <v/>
      </c>
      <c r="AZ52" s="680">
        <f>-AZ51</f>
        <v/>
      </c>
      <c r="BA52" s="680">
        <f>-BA51</f>
        <v/>
      </c>
      <c r="BB52" s="680">
        <f>-BB51</f>
        <v/>
      </c>
      <c r="BC52" s="680">
        <f>-BC51</f>
        <v/>
      </c>
      <c r="BD52" s="680">
        <f>-BD51</f>
        <v/>
      </c>
      <c r="BE52" s="680">
        <f>-BE51</f>
        <v/>
      </c>
      <c r="BH52" s="680">
        <f>-BH51</f>
        <v/>
      </c>
      <c r="BI52" s="680">
        <f>-BI51</f>
        <v/>
      </c>
      <c r="BJ52" s="680">
        <f>-BJ51</f>
        <v/>
      </c>
      <c r="BK52" s="680">
        <f>-BK51</f>
        <v/>
      </c>
      <c r="BL52" s="680">
        <f>-BL51</f>
        <v/>
      </c>
      <c r="BM52" s="680">
        <f>-BM51</f>
        <v/>
      </c>
      <c r="BN52" s="680">
        <f>-BN51</f>
        <v/>
      </c>
      <c r="BO52" s="680">
        <f>-BO51</f>
        <v/>
      </c>
      <c r="BP52" s="680">
        <f>-BP51</f>
        <v/>
      </c>
      <c r="BQ52" s="680">
        <f>-BQ51</f>
        <v/>
      </c>
      <c r="BR52" s="680">
        <f>-BR51</f>
        <v/>
      </c>
      <c r="BS52" s="680">
        <f>-BS51</f>
        <v/>
      </c>
    </row>
    <row r="53">
      <c r="A53" s="676" t="n">
        <v>0</v>
      </c>
      <c r="C53" s="680" t="n"/>
      <c r="D53" s="680" t="n">
        <v>0</v>
      </c>
      <c r="E53" s="680" t="n">
        <v>0</v>
      </c>
      <c r="F53" s="680" t="n">
        <v>0</v>
      </c>
      <c r="G53" s="680" t="n">
        <v>0</v>
      </c>
      <c r="H53" s="680" t="n">
        <v>0</v>
      </c>
      <c r="I53" s="680" t="n">
        <v>0</v>
      </c>
      <c r="J53" s="680" t="n">
        <v>0</v>
      </c>
      <c r="K53" s="680" t="n">
        <v>0</v>
      </c>
      <c r="L53" s="680" t="n">
        <v>0</v>
      </c>
      <c r="M53" s="680" t="n">
        <v>0</v>
      </c>
      <c r="N53" s="680" t="n">
        <v>0</v>
      </c>
      <c r="O53" s="680" t="n">
        <v>0</v>
      </c>
      <c r="P53" s="680" t="n"/>
      <c r="Q53" s="680" t="n"/>
      <c r="R53" s="681" t="n"/>
      <c r="S53" s="681" t="n"/>
      <c r="T53" s="681" t="n"/>
      <c r="U53" s="681" t="n"/>
      <c r="V53" s="681" t="n"/>
      <c r="W53" s="681" t="n"/>
      <c r="X53" s="681" t="n"/>
      <c r="Y53" s="681" t="n"/>
      <c r="Z53" s="681" t="n"/>
      <c r="AA53" s="681" t="n"/>
      <c r="AB53" s="681" t="n"/>
      <c r="AC53" s="681" t="n"/>
      <c r="AD53" s="681" t="n"/>
      <c r="AE53" s="681" t="n"/>
      <c r="AF53" s="681" t="n"/>
      <c r="AG53" s="681" t="n"/>
      <c r="AH53" s="681" t="n"/>
      <c r="AI53" s="681" t="n"/>
      <c r="AJ53" s="681" t="n"/>
      <c r="AK53" s="681" t="n"/>
      <c r="AL53" s="681" t="n"/>
      <c r="AM53" s="681" t="n"/>
      <c r="AN53" s="681" t="n"/>
      <c r="AO53" s="681" t="n"/>
      <c r="AP53" s="681" t="n"/>
      <c r="AQ53" s="681" t="n"/>
      <c r="AR53" s="681" t="n"/>
      <c r="AU53" s="681" t="n"/>
      <c r="AV53" s="681" t="n"/>
      <c r="AW53" s="681" t="n"/>
      <c r="AX53" s="681" t="n"/>
      <c r="AY53" s="681" t="n"/>
      <c r="AZ53" s="681" t="n"/>
      <c r="BA53" s="681" t="n"/>
      <c r="BB53" s="681" t="n"/>
      <c r="BC53" s="681" t="n"/>
      <c r="BD53" s="681" t="n"/>
      <c r="BE53" s="681" t="n"/>
      <c r="BI53" s="681" t="n"/>
      <c r="BJ53" s="681" t="n"/>
      <c r="BK53" s="681" t="n"/>
      <c r="BL53" s="681" t="n"/>
      <c r="BM53" s="681" t="n"/>
      <c r="BN53" s="681" t="n"/>
      <c r="BO53" s="681" t="n"/>
      <c r="BP53" s="681" t="n"/>
      <c r="BQ53" s="681" t="n"/>
      <c r="BR53" s="681" t="n"/>
      <c r="BS53" s="681" t="n"/>
    </row>
    <row r="54">
      <c r="A54" s="676" t="inlineStr">
        <is>
          <t>Professional and Legal Costs</t>
        </is>
      </c>
      <c r="C54" s="680" t="n"/>
      <c r="D54" s="680">
        <f>Calc!C49</f>
        <v/>
      </c>
      <c r="E54" s="680">
        <f>Calc!D49</f>
        <v/>
      </c>
      <c r="F54" s="680">
        <f>Calc!E49</f>
        <v/>
      </c>
      <c r="G54" s="680">
        <f>Calc!F49</f>
        <v/>
      </c>
      <c r="H54" s="680">
        <f>Calc!G49</f>
        <v/>
      </c>
      <c r="I54" s="680">
        <f>Calc!H49</f>
        <v/>
      </c>
      <c r="J54" s="680">
        <f>Calc!I49</f>
        <v/>
      </c>
      <c r="K54" s="680">
        <f>Calc!J49</f>
        <v/>
      </c>
      <c r="L54" s="680">
        <f>Calc!K49</f>
        <v/>
      </c>
      <c r="M54" s="680">
        <f>Calc!L49</f>
        <v/>
      </c>
      <c r="N54" s="680">
        <f>Calc!M49</f>
        <v/>
      </c>
      <c r="O54" s="680">
        <f>Calc!N49</f>
        <v/>
      </c>
      <c r="P54" s="680" t="n"/>
      <c r="Q54" s="680" t="n"/>
      <c r="R54" s="680">
        <f>Calc!P49/12</f>
        <v/>
      </c>
      <c r="S54" s="680">
        <f>R54</f>
        <v/>
      </c>
      <c r="T54" s="680">
        <f>S54</f>
        <v/>
      </c>
      <c r="U54" s="680">
        <f>T54</f>
        <v/>
      </c>
      <c r="V54" s="680">
        <f>U54</f>
        <v/>
      </c>
      <c r="W54" s="680">
        <f>V54</f>
        <v/>
      </c>
      <c r="X54" s="680">
        <f>W54</f>
        <v/>
      </c>
      <c r="Y54" s="680">
        <f>X54</f>
        <v/>
      </c>
      <c r="Z54" s="680">
        <f>Y54</f>
        <v/>
      </c>
      <c r="AA54" s="680">
        <f>Z54</f>
        <v/>
      </c>
      <c r="AB54" s="680">
        <f>AA54</f>
        <v/>
      </c>
      <c r="AC54" s="680">
        <f>AB54</f>
        <v/>
      </c>
      <c r="AD54" s="681" t="n"/>
      <c r="AE54" s="681" t="n"/>
      <c r="AF54" s="680">
        <f>Calc!Q49/12</f>
        <v/>
      </c>
      <c r="AG54" s="680">
        <f>AF54</f>
        <v/>
      </c>
      <c r="AH54" s="680">
        <f>AG54</f>
        <v/>
      </c>
      <c r="AI54" s="680">
        <f>AH54</f>
        <v/>
      </c>
      <c r="AJ54" s="680">
        <f>AI54</f>
        <v/>
      </c>
      <c r="AK54" s="680">
        <f>AJ54</f>
        <v/>
      </c>
      <c r="AL54" s="680">
        <f>AK54</f>
        <v/>
      </c>
      <c r="AM54" s="680">
        <f>AL54</f>
        <v/>
      </c>
      <c r="AN54" s="680">
        <f>AM54</f>
        <v/>
      </c>
      <c r="AO54" s="680">
        <f>AN54</f>
        <v/>
      </c>
      <c r="AP54" s="680">
        <f>AO54</f>
        <v/>
      </c>
      <c r="AQ54" s="680">
        <f>AP54</f>
        <v/>
      </c>
      <c r="AR54" s="681" t="n"/>
      <c r="AT54" s="680">
        <f>Calc!R49/12</f>
        <v/>
      </c>
      <c r="AU54" s="680">
        <f>AT54</f>
        <v/>
      </c>
      <c r="AV54" s="680">
        <f>AU54</f>
        <v/>
      </c>
      <c r="AW54" s="680">
        <f>AV54</f>
        <v/>
      </c>
      <c r="AX54" s="680">
        <f>AW54</f>
        <v/>
      </c>
      <c r="AY54" s="680">
        <f>AX54</f>
        <v/>
      </c>
      <c r="AZ54" s="680">
        <f>AY54</f>
        <v/>
      </c>
      <c r="BA54" s="680">
        <f>AZ54</f>
        <v/>
      </c>
      <c r="BB54" s="680">
        <f>BA54</f>
        <v/>
      </c>
      <c r="BC54" s="680">
        <f>BB54</f>
        <v/>
      </c>
      <c r="BD54" s="680">
        <f>BC54</f>
        <v/>
      </c>
      <c r="BE54" s="680">
        <f>BD54</f>
        <v/>
      </c>
      <c r="BH54" s="680">
        <f>Calc!S49/12</f>
        <v/>
      </c>
      <c r="BI54" s="680">
        <f>BH54</f>
        <v/>
      </c>
      <c r="BJ54" s="680">
        <f>BI54</f>
        <v/>
      </c>
      <c r="BK54" s="680">
        <f>BJ54</f>
        <v/>
      </c>
      <c r="BL54" s="680">
        <f>BK54</f>
        <v/>
      </c>
      <c r="BM54" s="680">
        <f>BL54</f>
        <v/>
      </c>
      <c r="BN54" s="680">
        <f>BM54</f>
        <v/>
      </c>
      <c r="BO54" s="680">
        <f>BN54</f>
        <v/>
      </c>
      <c r="BP54" s="680">
        <f>BO54</f>
        <v/>
      </c>
      <c r="BQ54" s="680">
        <f>BP54</f>
        <v/>
      </c>
      <c r="BR54" s="680">
        <f>BQ54</f>
        <v/>
      </c>
      <c r="BS54" s="680">
        <f>BR54</f>
        <v/>
      </c>
    </row>
    <row r="55">
      <c r="A55" s="676" t="inlineStr">
        <is>
          <t>Cash in hand and at bank</t>
        </is>
      </c>
      <c r="C55" s="680" t="n"/>
      <c r="D55" s="680">
        <f>-D54</f>
        <v/>
      </c>
      <c r="E55" s="680">
        <f>-E54</f>
        <v/>
      </c>
      <c r="F55" s="680">
        <f>-F54</f>
        <v/>
      </c>
      <c r="G55" s="680">
        <f>-G54</f>
        <v/>
      </c>
      <c r="H55" s="680">
        <f>-H54</f>
        <v/>
      </c>
      <c r="I55" s="680">
        <f>-I54</f>
        <v/>
      </c>
      <c r="J55" s="680">
        <f>-J54</f>
        <v/>
      </c>
      <c r="K55" s="680">
        <f>-K54</f>
        <v/>
      </c>
      <c r="L55" s="680">
        <f>-L54</f>
        <v/>
      </c>
      <c r="M55" s="680">
        <f>-M54</f>
        <v/>
      </c>
      <c r="N55" s="680">
        <f>-N54</f>
        <v/>
      </c>
      <c r="O55" s="680">
        <f>-O54</f>
        <v/>
      </c>
      <c r="P55" s="680" t="n"/>
      <c r="Q55" s="680" t="n"/>
      <c r="R55" s="680">
        <f>-R54</f>
        <v/>
      </c>
      <c r="S55" s="680">
        <f>R55</f>
        <v/>
      </c>
      <c r="T55" s="680">
        <f>S55</f>
        <v/>
      </c>
      <c r="U55" s="680">
        <f>T55</f>
        <v/>
      </c>
      <c r="V55" s="680">
        <f>U55</f>
        <v/>
      </c>
      <c r="W55" s="680">
        <f>V55</f>
        <v/>
      </c>
      <c r="X55" s="680">
        <f>W55</f>
        <v/>
      </c>
      <c r="Y55" s="680">
        <f>X55</f>
        <v/>
      </c>
      <c r="Z55" s="680">
        <f>Y55</f>
        <v/>
      </c>
      <c r="AA55" s="680">
        <f>Z55</f>
        <v/>
      </c>
      <c r="AB55" s="680">
        <f>AA55</f>
        <v/>
      </c>
      <c r="AC55" s="680">
        <f>AB55</f>
        <v/>
      </c>
      <c r="AD55" s="681" t="n"/>
      <c r="AE55" s="681" t="n"/>
      <c r="AF55" s="680">
        <f>-AF54</f>
        <v/>
      </c>
      <c r="AG55" s="680">
        <f>AF55</f>
        <v/>
      </c>
      <c r="AH55" s="680">
        <f>AG55</f>
        <v/>
      </c>
      <c r="AI55" s="680">
        <f>AH55</f>
        <v/>
      </c>
      <c r="AJ55" s="680">
        <f>AI55</f>
        <v/>
      </c>
      <c r="AK55" s="680">
        <f>AJ55</f>
        <v/>
      </c>
      <c r="AL55" s="680">
        <f>AK55</f>
        <v/>
      </c>
      <c r="AM55" s="680">
        <f>AL55</f>
        <v/>
      </c>
      <c r="AN55" s="680">
        <f>AM55</f>
        <v/>
      </c>
      <c r="AO55" s="680">
        <f>AN55</f>
        <v/>
      </c>
      <c r="AP55" s="680">
        <f>AO55</f>
        <v/>
      </c>
      <c r="AQ55" s="680">
        <f>AP55</f>
        <v/>
      </c>
      <c r="AR55" s="681" t="n"/>
      <c r="AT55" s="680">
        <f>-AT54</f>
        <v/>
      </c>
      <c r="AU55" s="680">
        <f>-AU54</f>
        <v/>
      </c>
      <c r="AV55" s="680">
        <f>-AV54</f>
        <v/>
      </c>
      <c r="AW55" s="680">
        <f>-AW54</f>
        <v/>
      </c>
      <c r="AX55" s="680">
        <f>-AX54</f>
        <v/>
      </c>
      <c r="AY55" s="680">
        <f>-AY54</f>
        <v/>
      </c>
      <c r="AZ55" s="680">
        <f>-AZ54</f>
        <v/>
      </c>
      <c r="BA55" s="680">
        <f>-BA54</f>
        <v/>
      </c>
      <c r="BB55" s="680">
        <f>-BB54</f>
        <v/>
      </c>
      <c r="BC55" s="680">
        <f>-BC54</f>
        <v/>
      </c>
      <c r="BD55" s="680">
        <f>-BD54</f>
        <v/>
      </c>
      <c r="BE55" s="680">
        <f>-BE54</f>
        <v/>
      </c>
      <c r="BH55" s="680">
        <f>-BH54</f>
        <v/>
      </c>
      <c r="BI55" s="680">
        <f>-BI54</f>
        <v/>
      </c>
      <c r="BJ55" s="680">
        <f>-BJ54</f>
        <v/>
      </c>
      <c r="BK55" s="680">
        <f>-BK54</f>
        <v/>
      </c>
      <c r="BL55" s="680">
        <f>-BL54</f>
        <v/>
      </c>
      <c r="BM55" s="680">
        <f>-BM54</f>
        <v/>
      </c>
      <c r="BN55" s="680">
        <f>-BN54</f>
        <v/>
      </c>
      <c r="BO55" s="680">
        <f>-BO54</f>
        <v/>
      </c>
      <c r="BP55" s="680">
        <f>-BP54</f>
        <v/>
      </c>
      <c r="BQ55" s="680">
        <f>-BQ54</f>
        <v/>
      </c>
      <c r="BR55" s="680">
        <f>-BR54</f>
        <v/>
      </c>
      <c r="BS55" s="680">
        <f>-BS54</f>
        <v/>
      </c>
    </row>
    <row r="56">
      <c r="A56" s="676" t="n">
        <v>0</v>
      </c>
      <c r="C56" s="680" t="n"/>
      <c r="D56" s="680" t="n"/>
      <c r="E56" s="680" t="n"/>
      <c r="F56" s="680" t="n"/>
      <c r="G56" s="680" t="n"/>
      <c r="H56" s="680" t="n"/>
      <c r="I56" s="680" t="n"/>
      <c r="J56" s="680" t="n"/>
      <c r="K56" s="680" t="n"/>
      <c r="L56" s="680" t="n"/>
      <c r="M56" s="680" t="n"/>
      <c r="N56" s="680" t="n"/>
      <c r="O56" s="680" t="n"/>
      <c r="P56" s="680" t="n"/>
      <c r="Q56" s="680" t="n"/>
      <c r="R56" s="680" t="n"/>
      <c r="S56" s="680" t="n"/>
      <c r="T56" s="680" t="n"/>
      <c r="U56" s="680" t="n"/>
      <c r="V56" s="680" t="n"/>
      <c r="W56" s="680" t="n"/>
      <c r="X56" s="680" t="n"/>
      <c r="Y56" s="680" t="n"/>
      <c r="Z56" s="680" t="n"/>
      <c r="AA56" s="680" t="n"/>
      <c r="AB56" s="680" t="n"/>
      <c r="AC56" s="681" t="n"/>
      <c r="AD56" s="681" t="n"/>
      <c r="AE56" s="681" t="n"/>
      <c r="AF56" s="681" t="n"/>
      <c r="AG56" s="681" t="n"/>
      <c r="AH56" s="681" t="n"/>
      <c r="AI56" s="681" t="n"/>
      <c r="AJ56" s="681" t="n"/>
      <c r="AK56" s="681" t="n"/>
      <c r="AL56" s="681" t="n"/>
      <c r="AM56" s="681" t="n"/>
      <c r="AN56" s="681" t="n"/>
      <c r="AO56" s="681" t="n"/>
      <c r="AP56" s="681" t="n"/>
      <c r="AQ56" s="681" t="n"/>
      <c r="AR56" s="681" t="n"/>
      <c r="AU56" s="681" t="n"/>
      <c r="AV56" s="681" t="n"/>
      <c r="AW56" s="681" t="n"/>
      <c r="AX56" s="681" t="n"/>
      <c r="AY56" s="681" t="n"/>
      <c r="AZ56" s="681" t="n"/>
      <c r="BA56" s="681" t="n"/>
      <c r="BB56" s="681" t="n"/>
      <c r="BC56" s="681" t="n"/>
      <c r="BD56" s="681" t="n"/>
      <c r="BE56" s="681" t="n"/>
      <c r="BI56" s="681" t="n"/>
      <c r="BJ56" s="681" t="n"/>
      <c r="BK56" s="681" t="n"/>
      <c r="BL56" s="681" t="n"/>
      <c r="BM56" s="681" t="n"/>
      <c r="BN56" s="681" t="n"/>
      <c r="BO56" s="681" t="n"/>
      <c r="BP56" s="681" t="n"/>
      <c r="BQ56" s="681" t="n"/>
      <c r="BR56" s="681" t="n"/>
      <c r="BS56" s="681" t="n"/>
    </row>
    <row r="57">
      <c r="A57" s="676" t="inlineStr">
        <is>
          <t>Insurances</t>
        </is>
      </c>
      <c r="C57" s="680" t="n"/>
      <c r="D57" s="680">
        <f>Calc!C50</f>
        <v/>
      </c>
      <c r="E57" s="680">
        <f>Calc!D50</f>
        <v/>
      </c>
      <c r="F57" s="680">
        <f>Calc!E50</f>
        <v/>
      </c>
      <c r="G57" s="680">
        <f>Calc!F50</f>
        <v/>
      </c>
      <c r="H57" s="680">
        <f>Calc!G50</f>
        <v/>
      </c>
      <c r="I57" s="680">
        <f>Calc!H50</f>
        <v/>
      </c>
      <c r="J57" s="680">
        <f>Calc!I50</f>
        <v/>
      </c>
      <c r="K57" s="680">
        <f>Calc!J50</f>
        <v/>
      </c>
      <c r="L57" s="680">
        <f>Calc!K50</f>
        <v/>
      </c>
      <c r="M57" s="680">
        <f>Calc!L50</f>
        <v/>
      </c>
      <c r="N57" s="680">
        <f>Calc!M50</f>
        <v/>
      </c>
      <c r="O57" s="680">
        <f>Calc!N50</f>
        <v/>
      </c>
      <c r="P57" s="680" t="n"/>
      <c r="Q57" s="680" t="n"/>
      <c r="R57" s="680">
        <f>Calc!P50/12</f>
        <v/>
      </c>
      <c r="S57" s="680">
        <f>R57</f>
        <v/>
      </c>
      <c r="T57" s="680">
        <f>S57</f>
        <v/>
      </c>
      <c r="U57" s="680">
        <f>T57</f>
        <v/>
      </c>
      <c r="V57" s="680">
        <f>U57</f>
        <v/>
      </c>
      <c r="W57" s="680">
        <f>V57</f>
        <v/>
      </c>
      <c r="X57" s="680">
        <f>W57</f>
        <v/>
      </c>
      <c r="Y57" s="680">
        <f>X57</f>
        <v/>
      </c>
      <c r="Z57" s="680">
        <f>Y57</f>
        <v/>
      </c>
      <c r="AA57" s="680">
        <f>Z57</f>
        <v/>
      </c>
      <c r="AB57" s="680">
        <f>AA57</f>
        <v/>
      </c>
      <c r="AC57" s="680">
        <f>AB57</f>
        <v/>
      </c>
      <c r="AD57" s="681" t="n"/>
      <c r="AE57" s="681" t="n"/>
      <c r="AF57" s="680">
        <f>Calc!Q50/12</f>
        <v/>
      </c>
      <c r="AG57" s="680">
        <f>AF57</f>
        <v/>
      </c>
      <c r="AH57" s="680">
        <f>AG57</f>
        <v/>
      </c>
      <c r="AI57" s="680">
        <f>AH57</f>
        <v/>
      </c>
      <c r="AJ57" s="680">
        <f>AI57</f>
        <v/>
      </c>
      <c r="AK57" s="680">
        <f>AJ57</f>
        <v/>
      </c>
      <c r="AL57" s="680">
        <f>AK57</f>
        <v/>
      </c>
      <c r="AM57" s="680">
        <f>AL57</f>
        <v/>
      </c>
      <c r="AN57" s="680">
        <f>AM57</f>
        <v/>
      </c>
      <c r="AO57" s="680">
        <f>AN57</f>
        <v/>
      </c>
      <c r="AP57" s="680">
        <f>AO57</f>
        <v/>
      </c>
      <c r="AQ57" s="680">
        <f>AP57</f>
        <v/>
      </c>
      <c r="AR57" s="681" t="n"/>
      <c r="AT57" s="680">
        <f>Calc!R50/12</f>
        <v/>
      </c>
      <c r="AU57" s="680">
        <f>AT57</f>
        <v/>
      </c>
      <c r="AV57" s="680">
        <f>AU57</f>
        <v/>
      </c>
      <c r="AW57" s="680">
        <f>AV57</f>
        <v/>
      </c>
      <c r="AX57" s="680">
        <f>AW57</f>
        <v/>
      </c>
      <c r="AY57" s="680">
        <f>AX57</f>
        <v/>
      </c>
      <c r="AZ57" s="680">
        <f>AY57</f>
        <v/>
      </c>
      <c r="BA57" s="680">
        <f>AZ57</f>
        <v/>
      </c>
      <c r="BB57" s="680">
        <f>BA57</f>
        <v/>
      </c>
      <c r="BC57" s="680">
        <f>BB57</f>
        <v/>
      </c>
      <c r="BD57" s="680">
        <f>BC57</f>
        <v/>
      </c>
      <c r="BE57" s="680">
        <f>BD57</f>
        <v/>
      </c>
      <c r="BH57" s="680">
        <f>Calc!S50/12</f>
        <v/>
      </c>
      <c r="BI57" s="680">
        <f>BH57</f>
        <v/>
      </c>
      <c r="BJ57" s="680">
        <f>BI57</f>
        <v/>
      </c>
      <c r="BK57" s="680">
        <f>BJ57</f>
        <v/>
      </c>
      <c r="BL57" s="680">
        <f>BK57</f>
        <v/>
      </c>
      <c r="BM57" s="680">
        <f>BL57</f>
        <v/>
      </c>
      <c r="BN57" s="680">
        <f>BM57</f>
        <v/>
      </c>
      <c r="BO57" s="680">
        <f>BN57</f>
        <v/>
      </c>
      <c r="BP57" s="680">
        <f>BO57</f>
        <v/>
      </c>
      <c r="BQ57" s="680">
        <f>BP57</f>
        <v/>
      </c>
      <c r="BR57" s="680">
        <f>BQ57</f>
        <v/>
      </c>
      <c r="BS57" s="680">
        <f>BR57</f>
        <v/>
      </c>
    </row>
    <row r="58">
      <c r="A58" s="676" t="inlineStr">
        <is>
          <t>Cash in hand and at bank</t>
        </is>
      </c>
      <c r="C58" s="680" t="n"/>
      <c r="D58" s="680">
        <f>-D57</f>
        <v/>
      </c>
      <c r="E58" s="680">
        <f>-E57</f>
        <v/>
      </c>
      <c r="F58" s="680">
        <f>-F57</f>
        <v/>
      </c>
      <c r="G58" s="680">
        <f>-G57</f>
        <v/>
      </c>
      <c r="H58" s="680">
        <f>-H57</f>
        <v/>
      </c>
      <c r="I58" s="680">
        <f>-I57</f>
        <v/>
      </c>
      <c r="J58" s="680">
        <f>-J57</f>
        <v/>
      </c>
      <c r="K58" s="680">
        <f>-K57</f>
        <v/>
      </c>
      <c r="L58" s="680">
        <f>-L57</f>
        <v/>
      </c>
      <c r="M58" s="680">
        <f>-M57</f>
        <v/>
      </c>
      <c r="N58" s="680">
        <f>-N57</f>
        <v/>
      </c>
      <c r="O58" s="680">
        <f>-O57</f>
        <v/>
      </c>
      <c r="P58" s="680" t="n"/>
      <c r="Q58" s="680" t="n"/>
      <c r="R58" s="680">
        <f>-R57</f>
        <v/>
      </c>
      <c r="S58" s="680">
        <f>R58</f>
        <v/>
      </c>
      <c r="T58" s="680">
        <f>S58</f>
        <v/>
      </c>
      <c r="U58" s="680">
        <f>T58</f>
        <v/>
      </c>
      <c r="V58" s="680">
        <f>U58</f>
        <v/>
      </c>
      <c r="W58" s="680">
        <f>V58</f>
        <v/>
      </c>
      <c r="X58" s="680">
        <f>W58</f>
        <v/>
      </c>
      <c r="Y58" s="680">
        <f>X58</f>
        <v/>
      </c>
      <c r="Z58" s="680">
        <f>Y58</f>
        <v/>
      </c>
      <c r="AA58" s="680">
        <f>Z58</f>
        <v/>
      </c>
      <c r="AB58" s="680">
        <f>AA58</f>
        <v/>
      </c>
      <c r="AC58" s="680">
        <f>AB58</f>
        <v/>
      </c>
      <c r="AD58" s="681" t="n"/>
      <c r="AE58" s="681" t="n"/>
      <c r="AF58" s="680">
        <f>-AF57</f>
        <v/>
      </c>
      <c r="AG58" s="680">
        <f>AF58</f>
        <v/>
      </c>
      <c r="AH58" s="680">
        <f>AG58</f>
        <v/>
      </c>
      <c r="AI58" s="680">
        <f>AH58</f>
        <v/>
      </c>
      <c r="AJ58" s="680">
        <f>AI58</f>
        <v/>
      </c>
      <c r="AK58" s="680">
        <f>AJ58</f>
        <v/>
      </c>
      <c r="AL58" s="680">
        <f>AK58</f>
        <v/>
      </c>
      <c r="AM58" s="680">
        <f>AL58</f>
        <v/>
      </c>
      <c r="AN58" s="680">
        <f>AM58</f>
        <v/>
      </c>
      <c r="AO58" s="680">
        <f>AN58</f>
        <v/>
      </c>
      <c r="AP58" s="680">
        <f>AO58</f>
        <v/>
      </c>
      <c r="AQ58" s="680">
        <f>AP58</f>
        <v/>
      </c>
      <c r="AR58" s="681" t="n"/>
      <c r="AT58" s="680">
        <f>-AT57</f>
        <v/>
      </c>
      <c r="AU58" s="680">
        <f>-AU57</f>
        <v/>
      </c>
      <c r="AV58" s="680">
        <f>-AV57</f>
        <v/>
      </c>
      <c r="AW58" s="680">
        <f>-AW57</f>
        <v/>
      </c>
      <c r="AX58" s="680">
        <f>-AX57</f>
        <v/>
      </c>
      <c r="AY58" s="680">
        <f>-AY57</f>
        <v/>
      </c>
      <c r="AZ58" s="680">
        <f>-AZ57</f>
        <v/>
      </c>
      <c r="BA58" s="680">
        <f>-BA57</f>
        <v/>
      </c>
      <c r="BB58" s="680">
        <f>-BB57</f>
        <v/>
      </c>
      <c r="BC58" s="680">
        <f>-BC57</f>
        <v/>
      </c>
      <c r="BD58" s="680">
        <f>-BD57</f>
        <v/>
      </c>
      <c r="BE58" s="680">
        <f>-BE57</f>
        <v/>
      </c>
      <c r="BH58" s="680">
        <f>-BH57</f>
        <v/>
      </c>
      <c r="BI58" s="680">
        <f>-BI57</f>
        <v/>
      </c>
      <c r="BJ58" s="680">
        <f>-BJ57</f>
        <v/>
      </c>
      <c r="BK58" s="680">
        <f>-BK57</f>
        <v/>
      </c>
      <c r="BL58" s="680">
        <f>-BL57</f>
        <v/>
      </c>
      <c r="BM58" s="680">
        <f>-BM57</f>
        <v/>
      </c>
      <c r="BN58" s="680">
        <f>-BN57</f>
        <v/>
      </c>
      <c r="BO58" s="680">
        <f>-BO57</f>
        <v/>
      </c>
      <c r="BP58" s="680">
        <f>-BP57</f>
        <v/>
      </c>
      <c r="BQ58" s="680">
        <f>-BQ57</f>
        <v/>
      </c>
      <c r="BR58" s="680">
        <f>-BR57</f>
        <v/>
      </c>
      <c r="BS58" s="680">
        <f>-BS57</f>
        <v/>
      </c>
    </row>
    <row r="59">
      <c r="A59" s="676" t="n">
        <v>0</v>
      </c>
      <c r="C59" s="680" t="n"/>
      <c r="D59" s="680" t="n">
        <v>0</v>
      </c>
      <c r="E59" s="680" t="n">
        <v>0</v>
      </c>
      <c r="F59" s="680" t="n">
        <v>0</v>
      </c>
      <c r="G59" s="680" t="n">
        <v>0</v>
      </c>
      <c r="H59" s="680" t="n">
        <v>0</v>
      </c>
      <c r="I59" s="680" t="n">
        <v>0</v>
      </c>
      <c r="J59" s="680" t="n">
        <v>0</v>
      </c>
      <c r="K59" s="680" t="n">
        <v>0</v>
      </c>
      <c r="L59" s="680" t="n">
        <v>0</v>
      </c>
      <c r="M59" s="680" t="n">
        <v>0</v>
      </c>
      <c r="N59" s="680" t="n">
        <v>0</v>
      </c>
      <c r="O59" s="680" t="n">
        <v>0</v>
      </c>
      <c r="P59" s="680" t="n"/>
      <c r="Q59" s="680" t="n"/>
      <c r="R59" s="681" t="n"/>
      <c r="S59" s="681" t="n"/>
      <c r="T59" s="681" t="n"/>
      <c r="U59" s="681" t="n"/>
      <c r="V59" s="681" t="n"/>
      <c r="W59" s="681" t="n"/>
      <c r="X59" s="681" t="n"/>
      <c r="Y59" s="681" t="n"/>
      <c r="Z59" s="681" t="n"/>
      <c r="AA59" s="681" t="n"/>
      <c r="AB59" s="681" t="n"/>
      <c r="AC59" s="681" t="n"/>
      <c r="AD59" s="681" t="n"/>
      <c r="AE59" s="681" t="n"/>
      <c r="AF59" s="681" t="n"/>
      <c r="AG59" s="681" t="n"/>
      <c r="AH59" s="681" t="n"/>
      <c r="AI59" s="681" t="n"/>
      <c r="AJ59" s="681" t="n"/>
      <c r="AK59" s="681" t="n"/>
      <c r="AL59" s="681" t="n"/>
      <c r="AM59" s="681" t="n"/>
      <c r="AN59" s="681" t="n"/>
      <c r="AO59" s="681" t="n"/>
      <c r="AP59" s="681" t="n"/>
      <c r="AQ59" s="681" t="n"/>
      <c r="AR59" s="681" t="n"/>
      <c r="AU59" s="681" t="n"/>
      <c r="AV59" s="681" t="n"/>
      <c r="AW59" s="681" t="n"/>
      <c r="AX59" s="681" t="n"/>
      <c r="AY59" s="681" t="n"/>
      <c r="AZ59" s="681" t="n"/>
      <c r="BA59" s="681" t="n"/>
      <c r="BB59" s="681" t="n"/>
      <c r="BC59" s="681" t="n"/>
      <c r="BD59" s="681" t="n"/>
      <c r="BE59" s="681" t="n"/>
      <c r="BH59" s="681" t="n"/>
      <c r="BI59" s="681" t="n"/>
      <c r="BJ59" s="681" t="n"/>
      <c r="BK59" s="681" t="n"/>
      <c r="BL59" s="681" t="n"/>
      <c r="BM59" s="681" t="n"/>
      <c r="BN59" s="681" t="n"/>
      <c r="BO59" s="681" t="n"/>
      <c r="BP59" s="681" t="n"/>
      <c r="BQ59" s="681" t="n"/>
      <c r="BR59" s="681" t="n"/>
      <c r="BS59" s="681" t="n"/>
    </row>
    <row r="60">
      <c r="A60" s="676" t="inlineStr">
        <is>
          <t>Bank Charges</t>
        </is>
      </c>
      <c r="C60" s="680" t="n"/>
      <c r="D60" s="680">
        <f>Calc!C51</f>
        <v/>
      </c>
      <c r="E60" s="680">
        <f>Calc!D51</f>
        <v/>
      </c>
      <c r="F60" s="680">
        <f>Calc!E51</f>
        <v/>
      </c>
      <c r="G60" s="680">
        <f>Calc!F51</f>
        <v/>
      </c>
      <c r="H60" s="680">
        <f>Calc!G51</f>
        <v/>
      </c>
      <c r="I60" s="680">
        <f>Calc!H51</f>
        <v/>
      </c>
      <c r="J60" s="680">
        <f>Calc!I51</f>
        <v/>
      </c>
      <c r="K60" s="680">
        <f>Calc!J51</f>
        <v/>
      </c>
      <c r="L60" s="680">
        <f>Calc!K51</f>
        <v/>
      </c>
      <c r="M60" s="680">
        <f>Calc!L51</f>
        <v/>
      </c>
      <c r="N60" s="680">
        <f>Calc!M51</f>
        <v/>
      </c>
      <c r="O60" s="680">
        <f>Calc!N51</f>
        <v/>
      </c>
      <c r="P60" s="680" t="n"/>
      <c r="Q60" s="680" t="n"/>
      <c r="R60" s="680">
        <f>Calc!P51/12</f>
        <v/>
      </c>
      <c r="S60" s="680">
        <f>R60</f>
        <v/>
      </c>
      <c r="T60" s="680">
        <f>S60</f>
        <v/>
      </c>
      <c r="U60" s="680">
        <f>T60</f>
        <v/>
      </c>
      <c r="V60" s="680">
        <f>U60</f>
        <v/>
      </c>
      <c r="W60" s="680">
        <f>V60</f>
        <v/>
      </c>
      <c r="X60" s="680">
        <f>W60</f>
        <v/>
      </c>
      <c r="Y60" s="680">
        <f>X60</f>
        <v/>
      </c>
      <c r="Z60" s="680">
        <f>Y60</f>
        <v/>
      </c>
      <c r="AA60" s="680">
        <f>Z60</f>
        <v/>
      </c>
      <c r="AB60" s="680">
        <f>AA60</f>
        <v/>
      </c>
      <c r="AC60" s="680">
        <f>AB60</f>
        <v/>
      </c>
      <c r="AD60" s="681" t="n"/>
      <c r="AE60" s="681" t="n"/>
      <c r="AF60" s="680">
        <f>Calc!Q51/12</f>
        <v/>
      </c>
      <c r="AG60" s="680">
        <f>AF60</f>
        <v/>
      </c>
      <c r="AH60" s="680">
        <f>AG60</f>
        <v/>
      </c>
      <c r="AI60" s="680">
        <f>AH60</f>
        <v/>
      </c>
      <c r="AJ60" s="680">
        <f>AI60</f>
        <v/>
      </c>
      <c r="AK60" s="680">
        <f>AJ60</f>
        <v/>
      </c>
      <c r="AL60" s="680">
        <f>AK60</f>
        <v/>
      </c>
      <c r="AM60" s="680">
        <f>AL60</f>
        <v/>
      </c>
      <c r="AN60" s="680">
        <f>AM60</f>
        <v/>
      </c>
      <c r="AO60" s="680">
        <f>AN60</f>
        <v/>
      </c>
      <c r="AP60" s="680">
        <f>AO60</f>
        <v/>
      </c>
      <c r="AQ60" s="680">
        <f>AP60</f>
        <v/>
      </c>
      <c r="AR60" s="681" t="n"/>
      <c r="AT60" s="680">
        <f>Calc!R51/12</f>
        <v/>
      </c>
      <c r="AU60" s="680">
        <f>AT60</f>
        <v/>
      </c>
      <c r="AV60" s="680">
        <f>AU60</f>
        <v/>
      </c>
      <c r="AW60" s="680">
        <f>AV60</f>
        <v/>
      </c>
      <c r="AX60" s="680">
        <f>AW60</f>
        <v/>
      </c>
      <c r="AY60" s="680">
        <f>AX60</f>
        <v/>
      </c>
      <c r="AZ60" s="680">
        <f>AY60</f>
        <v/>
      </c>
      <c r="BA60" s="680">
        <f>AZ60</f>
        <v/>
      </c>
      <c r="BB60" s="680">
        <f>BA60</f>
        <v/>
      </c>
      <c r="BC60" s="680">
        <f>BB60</f>
        <v/>
      </c>
      <c r="BD60" s="680">
        <f>BC60</f>
        <v/>
      </c>
      <c r="BE60" s="680">
        <f>BD60</f>
        <v/>
      </c>
      <c r="BH60" s="680">
        <f>Calc!S51/12</f>
        <v/>
      </c>
      <c r="BI60" s="680">
        <f>BH60</f>
        <v/>
      </c>
      <c r="BJ60" s="680">
        <f>BI60</f>
        <v/>
      </c>
      <c r="BK60" s="680">
        <f>BJ60</f>
        <v/>
      </c>
      <c r="BL60" s="680">
        <f>BK60</f>
        <v/>
      </c>
      <c r="BM60" s="680">
        <f>BL60</f>
        <v/>
      </c>
      <c r="BN60" s="680">
        <f>BM60</f>
        <v/>
      </c>
      <c r="BO60" s="680">
        <f>BN60</f>
        <v/>
      </c>
      <c r="BP60" s="680">
        <f>BO60</f>
        <v/>
      </c>
      <c r="BQ60" s="680">
        <f>BP60</f>
        <v/>
      </c>
      <c r="BR60" s="680">
        <f>BQ60</f>
        <v/>
      </c>
      <c r="BS60" s="680">
        <f>BR60</f>
        <v/>
      </c>
    </row>
    <row r="61">
      <c r="A61" s="676" t="inlineStr">
        <is>
          <t>Cash in hand and at bank</t>
        </is>
      </c>
      <c r="C61" s="680" t="n"/>
      <c r="D61" s="680">
        <f>-D60</f>
        <v/>
      </c>
      <c r="E61" s="680">
        <f>-E60</f>
        <v/>
      </c>
      <c r="F61" s="680">
        <f>-F60</f>
        <v/>
      </c>
      <c r="G61" s="680">
        <f>-G60</f>
        <v/>
      </c>
      <c r="H61" s="680">
        <f>-H60</f>
        <v/>
      </c>
      <c r="I61" s="680">
        <f>-I60</f>
        <v/>
      </c>
      <c r="J61" s="680">
        <f>-J60</f>
        <v/>
      </c>
      <c r="K61" s="680">
        <f>-K60</f>
        <v/>
      </c>
      <c r="L61" s="680">
        <f>-L60</f>
        <v/>
      </c>
      <c r="M61" s="680">
        <f>-M60</f>
        <v/>
      </c>
      <c r="N61" s="680">
        <f>-N60</f>
        <v/>
      </c>
      <c r="O61" s="680">
        <f>-O60</f>
        <v/>
      </c>
      <c r="P61" s="680" t="n"/>
      <c r="Q61" s="680" t="n"/>
      <c r="R61" s="680">
        <f>-R60</f>
        <v/>
      </c>
      <c r="S61" s="680">
        <f>R61</f>
        <v/>
      </c>
      <c r="T61" s="680">
        <f>S61</f>
        <v/>
      </c>
      <c r="U61" s="680">
        <f>T61</f>
        <v/>
      </c>
      <c r="V61" s="680">
        <f>U61</f>
        <v/>
      </c>
      <c r="W61" s="680">
        <f>V61</f>
        <v/>
      </c>
      <c r="X61" s="680">
        <f>W61</f>
        <v/>
      </c>
      <c r="Y61" s="680">
        <f>X61</f>
        <v/>
      </c>
      <c r="Z61" s="680">
        <f>Y61</f>
        <v/>
      </c>
      <c r="AA61" s="680">
        <f>Z61</f>
        <v/>
      </c>
      <c r="AB61" s="680">
        <f>AA61</f>
        <v/>
      </c>
      <c r="AC61" s="680">
        <f>AB61</f>
        <v/>
      </c>
      <c r="AD61" s="681" t="n"/>
      <c r="AE61" s="681" t="n"/>
      <c r="AF61" s="680">
        <f>-AF60</f>
        <v/>
      </c>
      <c r="AG61" s="680">
        <f>AF61</f>
        <v/>
      </c>
      <c r="AH61" s="680">
        <f>AG61</f>
        <v/>
      </c>
      <c r="AI61" s="680">
        <f>AH61</f>
        <v/>
      </c>
      <c r="AJ61" s="680">
        <f>AI61</f>
        <v/>
      </c>
      <c r="AK61" s="680">
        <f>AJ61</f>
        <v/>
      </c>
      <c r="AL61" s="680">
        <f>AK61</f>
        <v/>
      </c>
      <c r="AM61" s="680">
        <f>AL61</f>
        <v/>
      </c>
      <c r="AN61" s="680">
        <f>AM61</f>
        <v/>
      </c>
      <c r="AO61" s="680">
        <f>AN61</f>
        <v/>
      </c>
      <c r="AP61" s="680">
        <f>AO61</f>
        <v/>
      </c>
      <c r="AQ61" s="680">
        <f>AP61</f>
        <v/>
      </c>
      <c r="AR61" s="681" t="n"/>
      <c r="AT61" s="680">
        <f>-AT60</f>
        <v/>
      </c>
      <c r="AU61" s="680">
        <f>-AU60</f>
        <v/>
      </c>
      <c r="AV61" s="680">
        <f>-AV60</f>
        <v/>
      </c>
      <c r="AW61" s="680">
        <f>-AW60</f>
        <v/>
      </c>
      <c r="AX61" s="680">
        <f>-AX60</f>
        <v/>
      </c>
      <c r="AY61" s="680">
        <f>-AY60</f>
        <v/>
      </c>
      <c r="AZ61" s="680">
        <f>-AZ60</f>
        <v/>
      </c>
      <c r="BA61" s="680">
        <f>-BA60</f>
        <v/>
      </c>
      <c r="BB61" s="680">
        <f>-BB60</f>
        <v/>
      </c>
      <c r="BC61" s="680">
        <f>-BC60</f>
        <v/>
      </c>
      <c r="BD61" s="680">
        <f>-BD60</f>
        <v/>
      </c>
      <c r="BE61" s="680">
        <f>-BE60</f>
        <v/>
      </c>
      <c r="BH61" s="680">
        <f>-BH60</f>
        <v/>
      </c>
      <c r="BI61" s="680">
        <f>-BI60</f>
        <v/>
      </c>
      <c r="BJ61" s="680">
        <f>-BJ60</f>
        <v/>
      </c>
      <c r="BK61" s="680">
        <f>-BK60</f>
        <v/>
      </c>
      <c r="BL61" s="680">
        <f>-BL60</f>
        <v/>
      </c>
      <c r="BM61" s="680">
        <f>-BM60</f>
        <v/>
      </c>
      <c r="BN61" s="680">
        <f>-BN60</f>
        <v/>
      </c>
      <c r="BO61" s="680">
        <f>-BO60</f>
        <v/>
      </c>
      <c r="BP61" s="680">
        <f>-BP60</f>
        <v/>
      </c>
      <c r="BQ61" s="680">
        <f>-BQ60</f>
        <v/>
      </c>
      <c r="BR61" s="680">
        <f>-BR60</f>
        <v/>
      </c>
      <c r="BS61" s="680">
        <f>-BS60</f>
        <v/>
      </c>
    </row>
    <row r="62">
      <c r="A62" s="676" t="n">
        <v>0</v>
      </c>
      <c r="C62" s="680" t="n"/>
      <c r="D62" s="680" t="n">
        <v>0</v>
      </c>
      <c r="E62" s="680" t="n">
        <v>0</v>
      </c>
      <c r="F62" s="680" t="n">
        <v>0</v>
      </c>
      <c r="G62" s="680" t="n">
        <v>0</v>
      </c>
      <c r="H62" s="680" t="n">
        <v>0</v>
      </c>
      <c r="I62" s="680" t="n">
        <v>0</v>
      </c>
      <c r="J62" s="680" t="n">
        <v>0</v>
      </c>
      <c r="K62" s="680" t="n">
        <v>0</v>
      </c>
      <c r="L62" s="680" t="n">
        <v>0</v>
      </c>
      <c r="M62" s="680" t="n">
        <v>0</v>
      </c>
      <c r="N62" s="680" t="n">
        <v>0</v>
      </c>
      <c r="O62" s="680" t="n">
        <v>0</v>
      </c>
      <c r="P62" s="680" t="n"/>
      <c r="Q62" s="680" t="n"/>
      <c r="R62" s="681" t="n"/>
      <c r="S62" s="681" t="n"/>
      <c r="T62" s="681" t="n"/>
      <c r="U62" s="681" t="n"/>
      <c r="V62" s="681" t="n"/>
      <c r="W62" s="681" t="n"/>
      <c r="X62" s="681" t="n"/>
      <c r="Y62" s="681" t="n"/>
      <c r="Z62" s="681" t="n"/>
      <c r="AA62" s="681" t="n"/>
      <c r="AB62" s="681" t="n"/>
      <c r="AC62" s="681" t="n"/>
      <c r="AD62" s="681" t="n"/>
      <c r="AE62" s="681" t="n"/>
      <c r="AF62" s="681" t="n"/>
      <c r="AG62" s="681" t="n"/>
      <c r="AH62" s="681" t="n"/>
      <c r="AI62" s="681" t="n"/>
      <c r="AJ62" s="681" t="n"/>
      <c r="AK62" s="681" t="n"/>
      <c r="AL62" s="681" t="n"/>
      <c r="AM62" s="681" t="n"/>
      <c r="AN62" s="681" t="n"/>
      <c r="AO62" s="681" t="n"/>
      <c r="AP62" s="681" t="n"/>
      <c r="AQ62" s="681" t="n"/>
      <c r="AR62" s="681" t="n"/>
      <c r="AT62" s="681" t="n"/>
      <c r="AU62" s="681" t="n"/>
      <c r="AV62" s="681" t="n"/>
      <c r="AW62" s="681" t="n"/>
      <c r="AX62" s="681" t="n"/>
      <c r="AY62" s="681" t="n"/>
      <c r="AZ62" s="681" t="n"/>
      <c r="BA62" s="681" t="n"/>
      <c r="BB62" s="681" t="n"/>
      <c r="BC62" s="681" t="n"/>
      <c r="BD62" s="681" t="n"/>
      <c r="BE62" s="681" t="n"/>
      <c r="BH62" s="681" t="n"/>
      <c r="BI62" s="681" t="n"/>
      <c r="BJ62" s="681" t="n"/>
      <c r="BK62" s="681" t="n"/>
      <c r="BL62" s="681" t="n"/>
      <c r="BM62" s="681" t="n"/>
      <c r="BN62" s="681" t="n"/>
      <c r="BO62" s="681" t="n"/>
      <c r="BP62" s="681" t="n"/>
      <c r="BQ62" s="681" t="n"/>
      <c r="BR62" s="681" t="n"/>
      <c r="BS62" s="681" t="n"/>
    </row>
    <row r="63">
      <c r="A63" s="676" t="inlineStr">
        <is>
          <t>Short Term Loan</t>
        </is>
      </c>
      <c r="C63" s="680" t="n"/>
      <c r="D63" s="680">
        <f>-Calc!C71</f>
        <v/>
      </c>
      <c r="E63" s="680">
        <f>-Calc!D71</f>
        <v/>
      </c>
      <c r="F63" s="680">
        <f>-Calc!E71</f>
        <v/>
      </c>
      <c r="G63" s="680">
        <f>-Calc!F71</f>
        <v/>
      </c>
      <c r="H63" s="680">
        <f>-Calc!G71</f>
        <v/>
      </c>
      <c r="I63" s="680">
        <f>-Calc!H71</f>
        <v/>
      </c>
      <c r="J63" s="680">
        <f>-Calc!I71</f>
        <v/>
      </c>
      <c r="K63" s="680">
        <f>-Calc!J71</f>
        <v/>
      </c>
      <c r="L63" s="680">
        <f>-Calc!K71</f>
        <v/>
      </c>
      <c r="M63" s="680">
        <f>-Calc!L71</f>
        <v/>
      </c>
      <c r="N63" s="680">
        <f>-Calc!M71</f>
        <v/>
      </c>
      <c r="O63" s="680">
        <f>-Calc!N71</f>
        <v/>
      </c>
      <c r="P63" s="680" t="n"/>
      <c r="Q63" s="680" t="n"/>
      <c r="R63" s="681" t="n"/>
      <c r="S63" s="681" t="n"/>
      <c r="T63" s="681" t="n"/>
      <c r="U63" s="681" t="n"/>
      <c r="V63" s="681" t="n"/>
      <c r="W63" s="681" t="n"/>
      <c r="X63" s="681" t="n"/>
      <c r="Y63" s="681" t="n"/>
      <c r="Z63" s="681" t="n"/>
      <c r="AA63" s="681" t="n"/>
      <c r="AB63" s="681" t="n"/>
      <c r="AC63" s="681" t="n"/>
      <c r="AD63" s="681" t="n"/>
      <c r="AE63" s="681" t="n"/>
      <c r="AF63" s="681" t="n"/>
      <c r="AG63" s="681" t="n"/>
      <c r="AH63" s="681" t="n"/>
      <c r="AI63" s="681" t="n"/>
      <c r="AJ63" s="681" t="n"/>
      <c r="AK63" s="681" t="n"/>
      <c r="AL63" s="681" t="n"/>
      <c r="AM63" s="681" t="n"/>
      <c r="AN63" s="681" t="n"/>
      <c r="AO63" s="681" t="n"/>
      <c r="AP63" s="681" t="n"/>
      <c r="AQ63" s="681" t="n"/>
      <c r="AR63" s="681" t="n"/>
      <c r="AT63" s="681" t="n"/>
      <c r="AU63" s="681" t="n"/>
      <c r="AV63" s="681" t="n"/>
      <c r="AW63" s="681" t="n"/>
      <c r="AX63" s="681" t="n"/>
      <c r="AY63" s="681" t="n"/>
      <c r="AZ63" s="681" t="n"/>
      <c r="BA63" s="681" t="n"/>
      <c r="BB63" s="681" t="n"/>
      <c r="BC63" s="681" t="n"/>
      <c r="BD63" s="681" t="n"/>
      <c r="BE63" s="681" t="n"/>
      <c r="BH63" s="681" t="n"/>
      <c r="BI63" s="681" t="n"/>
      <c r="BJ63" s="681" t="n"/>
      <c r="BK63" s="681" t="n"/>
      <c r="BL63" s="681" t="n"/>
      <c r="BM63" s="681" t="n"/>
      <c r="BN63" s="681" t="n"/>
      <c r="BO63" s="681" t="n"/>
      <c r="BP63" s="681" t="n"/>
      <c r="BQ63" s="681" t="n"/>
      <c r="BR63" s="681" t="n"/>
      <c r="BS63" s="681" t="n"/>
    </row>
    <row r="64">
      <c r="A64" s="676" t="inlineStr">
        <is>
          <t>Cash in hand and at bank</t>
        </is>
      </c>
      <c r="C64" s="680" t="n"/>
      <c r="D64" s="680">
        <f>-D63</f>
        <v/>
      </c>
      <c r="E64" s="680">
        <f>-E63</f>
        <v/>
      </c>
      <c r="F64" s="680">
        <f>-F63</f>
        <v/>
      </c>
      <c r="G64" s="680">
        <f>-G63</f>
        <v/>
      </c>
      <c r="H64" s="680">
        <f>-H63</f>
        <v/>
      </c>
      <c r="I64" s="680">
        <f>-I63</f>
        <v/>
      </c>
      <c r="J64" s="680">
        <f>-J63</f>
        <v/>
      </c>
      <c r="K64" s="680">
        <f>-K63</f>
        <v/>
      </c>
      <c r="L64" s="680">
        <f>-L63</f>
        <v/>
      </c>
      <c r="M64" s="680">
        <f>-M63</f>
        <v/>
      </c>
      <c r="N64" s="680">
        <f>-N63</f>
        <v/>
      </c>
      <c r="O64" s="680">
        <f>-O63</f>
        <v/>
      </c>
      <c r="P64" s="680" t="n"/>
      <c r="Q64" s="680" t="n"/>
      <c r="R64" s="681" t="n"/>
      <c r="S64" s="681" t="n"/>
      <c r="T64" s="681" t="n"/>
      <c r="U64" s="681" t="n"/>
      <c r="V64" s="681" t="n"/>
      <c r="W64" s="681" t="n"/>
      <c r="X64" s="681" t="n"/>
      <c r="Y64" s="681" t="n"/>
      <c r="Z64" s="681" t="n"/>
      <c r="AA64" s="681" t="n"/>
      <c r="AB64" s="681" t="n"/>
      <c r="AC64" s="681" t="n"/>
      <c r="AD64" s="681" t="n"/>
      <c r="AE64" s="681" t="n"/>
      <c r="AF64" s="681" t="n"/>
      <c r="AG64" s="681" t="n"/>
      <c r="AH64" s="681" t="n"/>
      <c r="AI64" s="681" t="n"/>
      <c r="AJ64" s="681" t="n"/>
      <c r="AK64" s="681" t="n"/>
      <c r="AL64" s="681" t="n"/>
      <c r="AM64" s="681" t="n"/>
      <c r="AN64" s="681" t="n"/>
      <c r="AO64" s="681" t="n"/>
      <c r="AP64" s="681" t="n"/>
      <c r="AQ64" s="681" t="n"/>
      <c r="AR64" s="681" t="n"/>
      <c r="AT64" s="681" t="n"/>
      <c r="AU64" s="681" t="n"/>
      <c r="AV64" s="681" t="n"/>
      <c r="AW64" s="681" t="n"/>
      <c r="AX64" s="681" t="n"/>
      <c r="AY64" s="681" t="n"/>
      <c r="AZ64" s="681" t="n"/>
      <c r="BA64" s="681" t="n"/>
      <c r="BB64" s="681" t="n"/>
      <c r="BC64" s="681" t="n"/>
      <c r="BD64" s="681" t="n"/>
      <c r="BE64" s="681" t="n"/>
      <c r="BH64" s="681" t="n"/>
      <c r="BI64" s="681" t="n"/>
      <c r="BJ64" s="681" t="n"/>
      <c r="BK64" s="681" t="n"/>
      <c r="BL64" s="681" t="n"/>
      <c r="BM64" s="681" t="n"/>
      <c r="BN64" s="681" t="n"/>
      <c r="BO64" s="681" t="n"/>
      <c r="BP64" s="681" t="n"/>
      <c r="BQ64" s="681" t="n"/>
      <c r="BR64" s="681" t="n"/>
      <c r="BS64" s="681" t="n"/>
    </row>
    <row r="65">
      <c r="A65" s="676" t="n">
        <v>0</v>
      </c>
      <c r="C65" s="680" t="n"/>
      <c r="D65" s="680" t="n">
        <v>0</v>
      </c>
      <c r="E65" s="680" t="n">
        <v>0</v>
      </c>
      <c r="F65" s="680" t="n">
        <v>0</v>
      </c>
      <c r="G65" s="680" t="n">
        <v>0</v>
      </c>
      <c r="H65" s="680" t="n">
        <v>0</v>
      </c>
      <c r="I65" s="680" t="n">
        <v>0</v>
      </c>
      <c r="J65" s="680" t="n">
        <v>0</v>
      </c>
      <c r="K65" s="680" t="n">
        <v>0</v>
      </c>
      <c r="L65" s="680" t="n">
        <v>0</v>
      </c>
      <c r="M65" s="680" t="n">
        <v>0</v>
      </c>
      <c r="N65" s="680" t="n">
        <v>0</v>
      </c>
      <c r="O65" s="680" t="n">
        <v>0</v>
      </c>
      <c r="P65" s="680" t="n"/>
      <c r="Q65" s="680" t="n"/>
      <c r="R65" s="681" t="n"/>
      <c r="S65" s="681" t="n"/>
      <c r="T65" s="681" t="n"/>
      <c r="U65" s="681" t="n"/>
      <c r="V65" s="681" t="n"/>
      <c r="W65" s="681" t="n"/>
      <c r="X65" s="681" t="n"/>
      <c r="Y65" s="681" t="n"/>
      <c r="Z65" s="681" t="n"/>
      <c r="AA65" s="681" t="n"/>
      <c r="AB65" s="681" t="n"/>
      <c r="AC65" s="681" t="n"/>
      <c r="AD65" s="681" t="n"/>
      <c r="AE65" s="681" t="n"/>
      <c r="AF65" s="681" t="n"/>
      <c r="AG65" s="681" t="n"/>
      <c r="AH65" s="681" t="n"/>
      <c r="AI65" s="681" t="n"/>
      <c r="AJ65" s="681" t="n"/>
      <c r="AK65" s="681" t="n"/>
      <c r="AL65" s="681" t="n"/>
      <c r="AM65" s="681" t="n"/>
      <c r="AN65" s="681" t="n"/>
      <c r="AO65" s="681" t="n"/>
      <c r="AP65" s="681" t="n"/>
      <c r="AQ65" s="681" t="n"/>
      <c r="AR65" s="681" t="n"/>
      <c r="AT65" s="681" t="n"/>
      <c r="AU65" s="681" t="n"/>
      <c r="AV65" s="681" t="n"/>
      <c r="AW65" s="681" t="n"/>
      <c r="AX65" s="681" t="n"/>
      <c r="AY65" s="681" t="n"/>
      <c r="AZ65" s="681" t="n"/>
      <c r="BA65" s="681" t="n"/>
      <c r="BB65" s="681" t="n"/>
      <c r="BC65" s="681" t="n"/>
      <c r="BD65" s="681" t="n"/>
      <c r="BE65" s="681" t="n"/>
      <c r="BH65" s="681" t="n"/>
      <c r="BI65" s="681" t="n"/>
      <c r="BJ65" s="681" t="n"/>
      <c r="BK65" s="681" t="n"/>
      <c r="BL65" s="681" t="n"/>
      <c r="BM65" s="681" t="n"/>
      <c r="BN65" s="681" t="n"/>
      <c r="BO65" s="681" t="n"/>
      <c r="BP65" s="681" t="n"/>
      <c r="BQ65" s="681" t="n"/>
      <c r="BR65" s="681" t="n"/>
      <c r="BS65" s="681" t="n"/>
    </row>
    <row r="66">
      <c r="A66" s="676" t="inlineStr">
        <is>
          <t>Loan Interest</t>
        </is>
      </c>
      <c r="C66" s="680" t="n"/>
      <c r="D66" s="680" t="n"/>
      <c r="E66" s="680" t="n"/>
      <c r="F66" s="680" t="n"/>
      <c r="G66" s="680" t="n"/>
      <c r="H66" s="680" t="n"/>
      <c r="I66" s="680" t="n"/>
      <c r="J66" s="680" t="n"/>
      <c r="K66" s="680" t="n"/>
      <c r="L66" s="680" t="n"/>
      <c r="M66" s="680" t="n"/>
      <c r="N66" s="680" t="n"/>
      <c r="O66" s="680" t="n"/>
      <c r="P66" s="680" t="n"/>
      <c r="Q66" s="680" t="n"/>
      <c r="R66" s="681" t="n"/>
      <c r="S66" s="681" t="n"/>
      <c r="T66" s="681" t="n"/>
      <c r="U66" s="681" t="n"/>
      <c r="V66" s="681" t="n"/>
      <c r="W66" s="681" t="n"/>
      <c r="X66" s="681" t="n"/>
      <c r="Y66" s="681" t="n"/>
      <c r="Z66" s="681" t="n"/>
      <c r="AA66" s="681" t="n"/>
      <c r="AB66" s="681" t="n"/>
      <c r="AC66" s="681" t="n"/>
      <c r="AD66" s="681" t="n"/>
      <c r="AE66" s="681" t="n"/>
      <c r="AF66" s="681" t="n"/>
      <c r="AG66" s="681" t="n"/>
      <c r="AH66" s="681" t="n"/>
      <c r="AI66" s="681" t="n"/>
      <c r="AJ66" s="681" t="n"/>
      <c r="AK66" s="681" t="n"/>
      <c r="AL66" s="681" t="n"/>
      <c r="AM66" s="681" t="n"/>
      <c r="AN66" s="681" t="n"/>
      <c r="AO66" s="681" t="n"/>
      <c r="AP66" s="681" t="n"/>
      <c r="AQ66" s="681" t="n"/>
      <c r="AR66" s="681" t="n"/>
      <c r="AT66" s="681" t="n"/>
      <c r="AU66" s="681" t="n"/>
      <c r="AV66" s="681" t="n"/>
      <c r="AW66" s="681" t="n"/>
      <c r="AX66" s="681" t="n"/>
      <c r="AY66" s="681" t="n"/>
      <c r="AZ66" s="681" t="n"/>
      <c r="BA66" s="681" t="n"/>
      <c r="BB66" s="681" t="n"/>
      <c r="BC66" s="681" t="n"/>
      <c r="BD66" s="681" t="n"/>
      <c r="BE66" s="681" t="n"/>
      <c r="BH66" s="681" t="n"/>
      <c r="BI66" s="681" t="n"/>
      <c r="BJ66" s="681" t="n"/>
      <c r="BK66" s="681" t="n"/>
      <c r="BL66" s="681" t="n"/>
      <c r="BM66" s="681" t="n"/>
      <c r="BN66" s="681" t="n"/>
      <c r="BO66" s="681" t="n"/>
      <c r="BP66" s="681" t="n"/>
      <c r="BQ66" s="681" t="n"/>
      <c r="BR66" s="681" t="n"/>
      <c r="BS66" s="681" t="n"/>
    </row>
    <row r="67">
      <c r="A67" s="676" t="inlineStr">
        <is>
          <t>Short Term Loan</t>
        </is>
      </c>
      <c r="C67" s="680" t="n"/>
      <c r="D67" s="680">
        <f>-D66</f>
        <v/>
      </c>
      <c r="E67" s="680">
        <f>-E66</f>
        <v/>
      </c>
      <c r="F67" s="680">
        <f>-F66</f>
        <v/>
      </c>
      <c r="G67" s="680">
        <f>-G66</f>
        <v/>
      </c>
      <c r="H67" s="680">
        <f>-H66</f>
        <v/>
      </c>
      <c r="I67" s="680">
        <f>-I66</f>
        <v/>
      </c>
      <c r="J67" s="680">
        <f>-J66</f>
        <v/>
      </c>
      <c r="K67" s="680">
        <f>-K66</f>
        <v/>
      </c>
      <c r="L67" s="680">
        <f>-L66</f>
        <v/>
      </c>
      <c r="M67" s="680">
        <f>-M66</f>
        <v/>
      </c>
      <c r="N67" s="680">
        <f>-N66</f>
        <v/>
      </c>
      <c r="O67" s="680">
        <f>-O66</f>
        <v/>
      </c>
      <c r="P67" s="680" t="n"/>
      <c r="Q67" s="680" t="n"/>
      <c r="R67" s="681" t="n"/>
      <c r="S67" s="681" t="n"/>
      <c r="T67" s="681" t="n"/>
      <c r="U67" s="681" t="n"/>
      <c r="V67" s="681" t="n"/>
      <c r="W67" s="681" t="n"/>
      <c r="X67" s="681" t="n"/>
      <c r="Y67" s="681" t="n"/>
      <c r="Z67" s="681" t="n"/>
      <c r="AA67" s="681" t="n"/>
      <c r="AB67" s="681" t="n"/>
      <c r="AC67" s="681" t="n"/>
      <c r="AD67" s="681" t="n"/>
      <c r="AE67" s="681" t="n"/>
      <c r="AF67" s="681" t="n"/>
      <c r="AG67" s="681" t="n"/>
      <c r="AH67" s="681" t="n"/>
      <c r="AI67" s="681" t="n"/>
      <c r="AJ67" s="681" t="n"/>
      <c r="AK67" s="681" t="n"/>
      <c r="AL67" s="681" t="n"/>
      <c r="AM67" s="681" t="n"/>
      <c r="AN67" s="681" t="n"/>
      <c r="AO67" s="681" t="n"/>
      <c r="AP67" s="681" t="n"/>
      <c r="AQ67" s="681" t="n"/>
      <c r="AR67" s="681" t="n"/>
      <c r="AT67" s="681" t="n"/>
      <c r="AU67" s="681" t="n"/>
      <c r="AV67" s="681" t="n"/>
      <c r="AW67" s="681" t="n"/>
      <c r="AX67" s="681" t="n"/>
      <c r="AY67" s="681" t="n"/>
      <c r="AZ67" s="681" t="n"/>
      <c r="BA67" s="681" t="n"/>
      <c r="BB67" s="681" t="n"/>
      <c r="BC67" s="681" t="n"/>
      <c r="BD67" s="681" t="n"/>
      <c r="BE67" s="681" t="n"/>
      <c r="BH67" s="681" t="n"/>
      <c r="BI67" s="681" t="n"/>
      <c r="BJ67" s="681" t="n"/>
      <c r="BK67" s="681" t="n"/>
      <c r="BL67" s="681" t="n"/>
      <c r="BM67" s="681" t="n"/>
      <c r="BN67" s="681" t="n"/>
      <c r="BO67" s="681" t="n"/>
      <c r="BP67" s="681" t="n"/>
      <c r="BQ67" s="681" t="n"/>
      <c r="BR67" s="681" t="n"/>
      <c r="BS67" s="681" t="n"/>
    </row>
    <row r="68">
      <c r="A68" s="676" t="n">
        <v>0</v>
      </c>
      <c r="C68" s="680" t="n"/>
      <c r="D68" s="680" t="n">
        <v>0</v>
      </c>
      <c r="E68" s="680" t="n">
        <v>0</v>
      </c>
      <c r="F68" s="680" t="n">
        <v>0</v>
      </c>
      <c r="G68" s="680" t="n">
        <v>0</v>
      </c>
      <c r="H68" s="680" t="n">
        <v>0</v>
      </c>
      <c r="I68" s="680" t="n">
        <v>0</v>
      </c>
      <c r="J68" s="680" t="n">
        <v>0</v>
      </c>
      <c r="K68" s="680" t="n">
        <v>0</v>
      </c>
      <c r="L68" s="680" t="n">
        <v>0</v>
      </c>
      <c r="M68" s="680" t="n">
        <v>0</v>
      </c>
      <c r="N68" s="680" t="n">
        <v>0</v>
      </c>
      <c r="O68" s="680" t="n">
        <v>0</v>
      </c>
      <c r="P68" s="680" t="n"/>
      <c r="Q68" s="680" t="n"/>
      <c r="R68" s="681" t="n"/>
      <c r="S68" s="681" t="n"/>
      <c r="T68" s="681" t="n"/>
      <c r="U68" s="681" t="n"/>
      <c r="V68" s="681" t="n"/>
      <c r="W68" s="681" t="n"/>
      <c r="X68" s="681" t="n"/>
      <c r="Y68" s="681" t="n"/>
      <c r="Z68" s="681" t="n"/>
      <c r="AA68" s="681" t="n"/>
      <c r="AB68" s="681" t="n"/>
      <c r="AC68" s="681" t="n"/>
      <c r="AD68" s="681" t="n"/>
      <c r="AE68" s="681" t="n"/>
      <c r="AF68" s="681" t="n"/>
      <c r="AG68" s="681" t="n"/>
      <c r="AH68" s="681" t="n"/>
      <c r="AI68" s="681" t="n"/>
      <c r="AJ68" s="681" t="n"/>
      <c r="AK68" s="681" t="n"/>
      <c r="AL68" s="681" t="n"/>
      <c r="AM68" s="681" t="n"/>
      <c r="AN68" s="681" t="n"/>
      <c r="AO68" s="681" t="n"/>
      <c r="AP68" s="681" t="n"/>
      <c r="AQ68" s="681" t="n"/>
      <c r="AR68" s="681" t="n"/>
      <c r="AT68" s="681" t="n"/>
      <c r="AU68" s="681" t="n"/>
      <c r="AV68" s="681" t="n"/>
      <c r="AW68" s="681" t="n"/>
      <c r="AX68" s="681" t="n"/>
      <c r="AY68" s="681" t="n"/>
      <c r="AZ68" s="681" t="n"/>
      <c r="BA68" s="681" t="n"/>
      <c r="BB68" s="681" t="n"/>
      <c r="BC68" s="681" t="n"/>
      <c r="BD68" s="681" t="n"/>
      <c r="BE68" s="681" t="n"/>
      <c r="BH68" s="681" t="n"/>
      <c r="BI68" s="681" t="n"/>
      <c r="BJ68" s="681" t="n"/>
      <c r="BK68" s="681" t="n"/>
      <c r="BL68" s="681" t="n"/>
      <c r="BM68" s="681" t="n"/>
      <c r="BN68" s="681" t="n"/>
      <c r="BO68" s="681" t="n"/>
      <c r="BP68" s="681" t="n"/>
      <c r="BQ68" s="681" t="n"/>
      <c r="BR68" s="681" t="n"/>
      <c r="BS68" s="681" t="n"/>
    </row>
    <row r="69">
      <c r="A69" s="676" t="inlineStr">
        <is>
          <t>Cash in hand and at bank</t>
        </is>
      </c>
      <c r="C69" s="680">
        <f>Calc!B72</f>
        <v/>
      </c>
      <c r="D69" s="681" t="n"/>
      <c r="E69" s="680" t="n"/>
      <c r="F69" s="680" t="n"/>
      <c r="G69" s="680" t="n"/>
      <c r="H69" s="680" t="n"/>
      <c r="I69" s="680" t="n"/>
      <c r="J69" s="680" t="n"/>
      <c r="K69" s="680" t="n"/>
      <c r="L69" s="680" t="n"/>
      <c r="M69" s="680" t="n"/>
      <c r="N69" s="680" t="n"/>
      <c r="O69" s="680" t="n"/>
      <c r="P69" s="680" t="n"/>
      <c r="Q69" s="680" t="n"/>
      <c r="R69" s="681" t="n"/>
      <c r="S69" s="681" t="n"/>
      <c r="T69" s="681" t="n"/>
      <c r="U69" s="681" t="n"/>
      <c r="V69" s="681" t="n"/>
      <c r="W69" s="681" t="n"/>
      <c r="X69" s="681" t="n"/>
      <c r="Y69" s="681" t="n"/>
      <c r="Z69" s="681" t="n"/>
      <c r="AA69" s="681" t="n"/>
      <c r="AB69" s="681" t="n"/>
      <c r="AC69" s="681" t="n"/>
      <c r="AD69" s="681" t="n"/>
      <c r="AE69" s="681" t="n"/>
      <c r="AF69" s="681" t="n"/>
      <c r="AG69" s="681" t="n"/>
      <c r="AH69" s="681" t="n"/>
      <c r="AI69" s="681" t="n"/>
      <c r="AJ69" s="681" t="n"/>
      <c r="AK69" s="681" t="n"/>
      <c r="AL69" s="681" t="n"/>
      <c r="AM69" s="681" t="n"/>
      <c r="AN69" s="681" t="n"/>
      <c r="AO69" s="681" t="n"/>
      <c r="AP69" s="681" t="n"/>
      <c r="AQ69" s="681" t="n"/>
      <c r="AR69" s="681" t="n"/>
      <c r="AT69" s="681" t="n"/>
      <c r="AU69" s="681" t="n"/>
      <c r="AV69" s="681" t="n"/>
      <c r="AW69" s="681" t="n"/>
      <c r="AX69" s="681" t="n"/>
      <c r="AY69" s="681" t="n"/>
      <c r="AZ69" s="681" t="n"/>
      <c r="BA69" s="681" t="n"/>
      <c r="BB69" s="681" t="n"/>
      <c r="BC69" s="681" t="n"/>
      <c r="BD69" s="681" t="n"/>
      <c r="BE69" s="681" t="n"/>
      <c r="BH69" s="681" t="n"/>
      <c r="BI69" s="681" t="n"/>
      <c r="BJ69" s="681" t="n"/>
      <c r="BK69" s="681" t="n"/>
      <c r="BL69" s="681" t="n"/>
      <c r="BM69" s="681" t="n"/>
      <c r="BN69" s="681" t="n"/>
      <c r="BO69" s="681" t="n"/>
      <c r="BP69" s="681" t="n"/>
      <c r="BQ69" s="681" t="n"/>
      <c r="BR69" s="681" t="n"/>
      <c r="BS69" s="681" t="n"/>
    </row>
    <row r="70">
      <c r="A70" s="676" t="inlineStr">
        <is>
          <t>Share Capital</t>
        </is>
      </c>
      <c r="C70" s="680">
        <f>-C69</f>
        <v/>
      </c>
      <c r="D70" s="681" t="n"/>
      <c r="E70" s="680" t="n"/>
      <c r="F70" s="680" t="n"/>
      <c r="G70" s="680" t="n"/>
      <c r="H70" s="680" t="n"/>
      <c r="I70" s="680" t="n"/>
      <c r="J70" s="680" t="n"/>
      <c r="K70" s="680" t="n"/>
      <c r="L70" s="680" t="n"/>
      <c r="M70" s="680" t="n"/>
      <c r="N70" s="680" t="n"/>
      <c r="O70" s="680" t="n"/>
      <c r="P70" s="680" t="n"/>
      <c r="Q70" s="680" t="n"/>
      <c r="R70" s="681" t="n"/>
      <c r="S70" s="681" t="n"/>
      <c r="T70" s="681" t="n"/>
      <c r="U70" s="681" t="n"/>
      <c r="V70" s="681" t="n"/>
      <c r="W70" s="681" t="n"/>
      <c r="X70" s="681" t="n"/>
      <c r="Y70" s="681" t="n"/>
      <c r="Z70" s="681" t="n"/>
      <c r="AA70" s="681" t="n"/>
      <c r="AB70" s="681" t="n"/>
      <c r="AC70" s="681" t="n"/>
      <c r="AD70" s="681" t="n"/>
      <c r="AE70" s="681" t="n"/>
      <c r="AF70" s="681" t="n"/>
      <c r="AG70" s="681" t="n"/>
      <c r="AH70" s="681" t="n"/>
      <c r="AI70" s="681" t="n"/>
      <c r="AJ70" s="681" t="n"/>
      <c r="AK70" s="681" t="n"/>
      <c r="AL70" s="681" t="n"/>
      <c r="AM70" s="681" t="n"/>
      <c r="AN70" s="681" t="n"/>
      <c r="AO70" s="681" t="n"/>
      <c r="AP70" s="681" t="n"/>
      <c r="AQ70" s="681" t="n"/>
      <c r="AR70" s="681" t="n"/>
      <c r="AT70" s="681" t="n"/>
      <c r="AU70" s="681" t="n"/>
      <c r="AV70" s="681" t="n"/>
      <c r="AW70" s="681" t="n"/>
      <c r="AX70" s="681" t="n"/>
      <c r="AY70" s="681" t="n"/>
      <c r="AZ70" s="681" t="n"/>
      <c r="BA70" s="681" t="n"/>
      <c r="BB70" s="681" t="n"/>
      <c r="BC70" s="681" t="n"/>
      <c r="BD70" s="681" t="n"/>
      <c r="BE70" s="681" t="n"/>
      <c r="BH70" s="681" t="n"/>
      <c r="BI70" s="681" t="n"/>
      <c r="BJ70" s="681" t="n"/>
      <c r="BK70" s="681" t="n"/>
      <c r="BL70" s="681" t="n"/>
      <c r="BM70" s="681" t="n"/>
      <c r="BN70" s="681" t="n"/>
      <c r="BO70" s="681" t="n"/>
      <c r="BP70" s="681" t="n"/>
      <c r="BQ70" s="681" t="n"/>
      <c r="BR70" s="681" t="n"/>
      <c r="BS70" s="681" t="n"/>
    </row>
    <row r="71">
      <c r="A71" s="676" t="n">
        <v>0</v>
      </c>
      <c r="C71" s="680" t="n"/>
      <c r="D71" s="680" t="n">
        <v>0</v>
      </c>
      <c r="E71" s="680" t="n">
        <v>0</v>
      </c>
      <c r="F71" s="680" t="n">
        <v>0</v>
      </c>
      <c r="G71" s="680" t="n">
        <v>0</v>
      </c>
      <c r="H71" s="680" t="n">
        <v>0</v>
      </c>
      <c r="I71" s="680" t="n">
        <v>0</v>
      </c>
      <c r="J71" s="680" t="n">
        <v>0</v>
      </c>
      <c r="K71" s="680" t="n">
        <v>0</v>
      </c>
      <c r="L71" s="680" t="n">
        <v>0</v>
      </c>
      <c r="M71" s="680" t="n">
        <v>0</v>
      </c>
      <c r="N71" s="680" t="n">
        <v>0</v>
      </c>
      <c r="O71" s="680" t="n">
        <v>0</v>
      </c>
      <c r="P71" s="680" t="n"/>
      <c r="Q71" s="680" t="n"/>
      <c r="R71" s="681" t="n"/>
      <c r="S71" s="681" t="n"/>
      <c r="T71" s="681" t="n"/>
      <c r="U71" s="681" t="n"/>
      <c r="V71" s="681" t="n"/>
      <c r="W71" s="681" t="n"/>
      <c r="X71" s="681" t="n"/>
      <c r="Y71" s="681" t="n"/>
      <c r="Z71" s="681" t="n"/>
      <c r="AA71" s="681" t="n"/>
      <c r="AB71" s="681" t="n"/>
      <c r="AC71" s="681" t="n"/>
      <c r="AD71" s="681" t="n"/>
      <c r="AE71" s="681" t="n"/>
      <c r="AF71" s="681" t="n"/>
      <c r="AG71" s="681" t="n"/>
      <c r="AH71" s="681" t="n"/>
      <c r="AI71" s="681" t="n"/>
      <c r="AJ71" s="681" t="n"/>
      <c r="AK71" s="681" t="n"/>
      <c r="AL71" s="681" t="n"/>
      <c r="AM71" s="681" t="n"/>
      <c r="AN71" s="681" t="n"/>
      <c r="AO71" s="681" t="n"/>
      <c r="AP71" s="681" t="n"/>
      <c r="AQ71" s="681" t="n"/>
      <c r="AR71" s="681" t="n"/>
      <c r="AT71" s="681" t="n"/>
      <c r="AU71" s="681" t="n"/>
      <c r="AV71" s="681" t="n"/>
      <c r="AW71" s="681" t="n"/>
      <c r="AX71" s="681" t="n"/>
      <c r="AY71" s="681" t="n"/>
      <c r="AZ71" s="681" t="n"/>
      <c r="BA71" s="681" t="n"/>
      <c r="BB71" s="681" t="n"/>
      <c r="BC71" s="681" t="n"/>
      <c r="BD71" s="681" t="n"/>
      <c r="BE71" s="681" t="n"/>
      <c r="BH71" s="681" t="n"/>
      <c r="BI71" s="681" t="n"/>
      <c r="BJ71" s="681" t="n"/>
      <c r="BK71" s="681" t="n"/>
      <c r="BL71" s="681" t="n"/>
      <c r="BM71" s="681" t="n"/>
      <c r="BN71" s="681" t="n"/>
      <c r="BO71" s="681" t="n"/>
      <c r="BP71" s="681" t="n"/>
      <c r="BQ71" s="681" t="n"/>
      <c r="BR71" s="681" t="n"/>
      <c r="BS71" s="681" t="n"/>
    </row>
    <row r="72">
      <c r="A72" s="676" t="inlineStr">
        <is>
          <t>Depreciation</t>
        </is>
      </c>
      <c r="C72" s="680" t="n"/>
      <c r="D72" s="680">
        <f>Assums!C79</f>
        <v/>
      </c>
      <c r="E72" s="680">
        <f>Assums!$C$79</f>
        <v/>
      </c>
      <c r="F72" s="680">
        <f>Assums!$C$79</f>
        <v/>
      </c>
      <c r="G72" s="680">
        <f>Assums!$C$79</f>
        <v/>
      </c>
      <c r="H72" s="680">
        <f>Assums!$C$79</f>
        <v/>
      </c>
      <c r="I72" s="680">
        <f>Assums!$C$79</f>
        <v/>
      </c>
      <c r="J72" s="680">
        <f>Assums!$C$79</f>
        <v/>
      </c>
      <c r="K72" s="680">
        <f>Assums!$C$79</f>
        <v/>
      </c>
      <c r="L72" s="680">
        <f>Assums!$C$79</f>
        <v/>
      </c>
      <c r="M72" s="680">
        <f>Assums!$C$79</f>
        <v/>
      </c>
      <c r="N72" s="680">
        <f>Assums!$C$79</f>
        <v/>
      </c>
      <c r="O72" s="680">
        <f>Assums!$C$79</f>
        <v/>
      </c>
      <c r="P72" s="680" t="n"/>
      <c r="Q72" s="680" t="n"/>
      <c r="R72" s="680">
        <f>O72</f>
        <v/>
      </c>
      <c r="S72" s="680">
        <f>R72</f>
        <v/>
      </c>
      <c r="T72" s="680">
        <f>S72</f>
        <v/>
      </c>
      <c r="U72" s="680">
        <f>T72</f>
        <v/>
      </c>
      <c r="V72" s="680">
        <f>U72</f>
        <v/>
      </c>
      <c r="W72" s="680">
        <f>V72</f>
        <v/>
      </c>
      <c r="X72" s="680">
        <f>W72</f>
        <v/>
      </c>
      <c r="Y72" s="680">
        <f>X72</f>
        <v/>
      </c>
      <c r="Z72" s="680">
        <f>Y72</f>
        <v/>
      </c>
      <c r="AA72" s="680">
        <f>Z72</f>
        <v/>
      </c>
      <c r="AB72" s="680">
        <f>AA72</f>
        <v/>
      </c>
      <c r="AC72" s="680">
        <f>AB72</f>
        <v/>
      </c>
      <c r="AD72" s="681" t="n"/>
      <c r="AE72" s="681" t="n"/>
      <c r="AF72" s="680">
        <f>AC72</f>
        <v/>
      </c>
      <c r="AG72" s="680">
        <f>AF72</f>
        <v/>
      </c>
      <c r="AH72" s="680">
        <f>AG72</f>
        <v/>
      </c>
      <c r="AI72" s="680">
        <f>AH72</f>
        <v/>
      </c>
      <c r="AJ72" s="680">
        <f>AI72</f>
        <v/>
      </c>
      <c r="AK72" s="680">
        <f>AJ72</f>
        <v/>
      </c>
      <c r="AL72" s="680">
        <f>AK72</f>
        <v/>
      </c>
      <c r="AM72" s="680">
        <f>AL72</f>
        <v/>
      </c>
      <c r="AN72" s="680">
        <f>AM72</f>
        <v/>
      </c>
      <c r="AO72" s="680">
        <f>AN72</f>
        <v/>
      </c>
      <c r="AP72" s="680">
        <f>AO72</f>
        <v/>
      </c>
      <c r="AQ72" s="680">
        <f>AP72</f>
        <v/>
      </c>
      <c r="AR72" s="681" t="n"/>
      <c r="AT72" s="680">
        <f>AQ72</f>
        <v/>
      </c>
      <c r="AU72" s="680">
        <f>AT72</f>
        <v/>
      </c>
      <c r="AV72" s="680">
        <f>AU72</f>
        <v/>
      </c>
      <c r="AW72" s="680">
        <f>AV72</f>
        <v/>
      </c>
      <c r="AX72" s="680">
        <f>AW72</f>
        <v/>
      </c>
      <c r="AY72" s="680">
        <f>AX72</f>
        <v/>
      </c>
      <c r="AZ72" s="680">
        <f>AY72</f>
        <v/>
      </c>
      <c r="BA72" s="680">
        <f>AZ72</f>
        <v/>
      </c>
      <c r="BB72" s="680">
        <f>BA72</f>
        <v/>
      </c>
      <c r="BC72" s="680">
        <f>BB72</f>
        <v/>
      </c>
      <c r="BD72" s="680">
        <f>BC72</f>
        <v/>
      </c>
      <c r="BE72" s="680">
        <f>BD72</f>
        <v/>
      </c>
      <c r="BH72" s="680">
        <f>BE72</f>
        <v/>
      </c>
      <c r="BI72" s="680">
        <f>BH72</f>
        <v/>
      </c>
      <c r="BJ72" s="680">
        <f>BI72</f>
        <v/>
      </c>
      <c r="BK72" s="680">
        <f>BJ72</f>
        <v/>
      </c>
      <c r="BL72" s="680">
        <f>BK72</f>
        <v/>
      </c>
      <c r="BM72" s="680">
        <f>BL72</f>
        <v/>
      </c>
      <c r="BN72" s="680">
        <f>BM72</f>
        <v/>
      </c>
      <c r="BO72" s="680">
        <f>BN72</f>
        <v/>
      </c>
      <c r="BP72" s="680">
        <f>BO72</f>
        <v/>
      </c>
      <c r="BQ72" s="680">
        <f>BP72</f>
        <v/>
      </c>
      <c r="BR72" s="680">
        <f>BQ72</f>
        <v/>
      </c>
      <c r="BS72" s="680">
        <f>BR72</f>
        <v/>
      </c>
    </row>
    <row r="73">
      <c r="A73" s="676" t="inlineStr">
        <is>
          <t>Equipment</t>
        </is>
      </c>
      <c r="C73" s="680" t="n"/>
      <c r="D73" s="680">
        <f>-D72</f>
        <v/>
      </c>
      <c r="E73" s="680">
        <f>-E72</f>
        <v/>
      </c>
      <c r="F73" s="680">
        <f>-F72</f>
        <v/>
      </c>
      <c r="G73" s="680">
        <f>-G72</f>
        <v/>
      </c>
      <c r="H73" s="680">
        <f>-H72</f>
        <v/>
      </c>
      <c r="I73" s="680">
        <f>-I72</f>
        <v/>
      </c>
      <c r="J73" s="680">
        <f>-J72</f>
        <v/>
      </c>
      <c r="K73" s="680">
        <f>-K72</f>
        <v/>
      </c>
      <c r="L73" s="680">
        <f>-L72</f>
        <v/>
      </c>
      <c r="M73" s="680">
        <f>-M72</f>
        <v/>
      </c>
      <c r="N73" s="680">
        <f>-N72</f>
        <v/>
      </c>
      <c r="O73" s="680">
        <f>-O72</f>
        <v/>
      </c>
      <c r="P73" s="680" t="n"/>
      <c r="Q73" s="680" t="n"/>
      <c r="R73" s="680">
        <f>-R72</f>
        <v/>
      </c>
      <c r="S73" s="680">
        <f>-S72</f>
        <v/>
      </c>
      <c r="T73" s="680">
        <f>-T72</f>
        <v/>
      </c>
      <c r="U73" s="680">
        <f>-U72</f>
        <v/>
      </c>
      <c r="V73" s="680">
        <f>-V72</f>
        <v/>
      </c>
      <c r="W73" s="680">
        <f>-W72</f>
        <v/>
      </c>
      <c r="X73" s="680">
        <f>-X72</f>
        <v/>
      </c>
      <c r="Y73" s="680">
        <f>-Y72</f>
        <v/>
      </c>
      <c r="Z73" s="680">
        <f>-Z72</f>
        <v/>
      </c>
      <c r="AA73" s="680">
        <f>-AA72</f>
        <v/>
      </c>
      <c r="AB73" s="680">
        <f>-AB72</f>
        <v/>
      </c>
      <c r="AC73" s="680">
        <f>-AC72</f>
        <v/>
      </c>
      <c r="AD73" s="681" t="n"/>
      <c r="AE73" s="681" t="n"/>
      <c r="AF73" s="680">
        <f>-AF72</f>
        <v/>
      </c>
      <c r="AG73" s="680">
        <f>-AG72</f>
        <v/>
      </c>
      <c r="AH73" s="680">
        <f>-AH72</f>
        <v/>
      </c>
      <c r="AI73" s="680">
        <f>-AI72</f>
        <v/>
      </c>
      <c r="AJ73" s="680">
        <f>-AJ72</f>
        <v/>
      </c>
      <c r="AK73" s="680">
        <f>-AK72</f>
        <v/>
      </c>
      <c r="AL73" s="680">
        <f>-AL72</f>
        <v/>
      </c>
      <c r="AM73" s="680">
        <f>-AM72</f>
        <v/>
      </c>
      <c r="AN73" s="680">
        <f>-AN72</f>
        <v/>
      </c>
      <c r="AO73" s="680">
        <f>-AO72</f>
        <v/>
      </c>
      <c r="AP73" s="680">
        <f>-AP72</f>
        <v/>
      </c>
      <c r="AQ73" s="680">
        <f>-AQ72</f>
        <v/>
      </c>
      <c r="AR73" s="681" t="n"/>
      <c r="AT73" s="680">
        <f>-AT72</f>
        <v/>
      </c>
      <c r="AU73" s="680">
        <f>-AU72</f>
        <v/>
      </c>
      <c r="AV73" s="680">
        <f>-AV72</f>
        <v/>
      </c>
      <c r="AW73" s="680">
        <f>-AW72</f>
        <v/>
      </c>
      <c r="AX73" s="680">
        <f>-AX72</f>
        <v/>
      </c>
      <c r="AY73" s="680">
        <f>-AY72</f>
        <v/>
      </c>
      <c r="AZ73" s="680">
        <f>-AZ72</f>
        <v/>
      </c>
      <c r="BA73" s="680">
        <f>-BA72</f>
        <v/>
      </c>
      <c r="BB73" s="680">
        <f>-BB72</f>
        <v/>
      </c>
      <c r="BC73" s="680">
        <f>-BC72</f>
        <v/>
      </c>
      <c r="BD73" s="680">
        <f>-BD72</f>
        <v/>
      </c>
      <c r="BE73" s="680">
        <f>-BE72</f>
        <v/>
      </c>
      <c r="BH73" s="680">
        <f>-BH72</f>
        <v/>
      </c>
      <c r="BI73" s="680">
        <f>-BI72</f>
        <v/>
      </c>
      <c r="BJ73" s="680">
        <f>-BJ72</f>
        <v/>
      </c>
      <c r="BK73" s="680">
        <f>-BK72</f>
        <v/>
      </c>
      <c r="BL73" s="680">
        <f>-BL72</f>
        <v/>
      </c>
      <c r="BM73" s="680">
        <f>-BM72</f>
        <v/>
      </c>
      <c r="BN73" s="680">
        <f>-BN72</f>
        <v/>
      </c>
      <c r="BO73" s="680">
        <f>-BO72</f>
        <v/>
      </c>
      <c r="BP73" s="680">
        <f>-BP72</f>
        <v/>
      </c>
      <c r="BQ73" s="680">
        <f>-BQ72</f>
        <v/>
      </c>
      <c r="BR73" s="680">
        <f>-BR72</f>
        <v/>
      </c>
      <c r="BS73" s="680">
        <f>-BS72</f>
        <v/>
      </c>
    </row>
    <row r="74">
      <c r="A74" s="676" t="n">
        <v>0</v>
      </c>
      <c r="C74" s="680" t="n"/>
      <c r="D74" s="680" t="n">
        <v>0</v>
      </c>
      <c r="E74" s="680" t="n">
        <v>0</v>
      </c>
      <c r="F74" s="680" t="n">
        <v>0</v>
      </c>
      <c r="G74" s="680" t="n">
        <v>0</v>
      </c>
      <c r="H74" s="680" t="n">
        <v>0</v>
      </c>
      <c r="I74" s="680" t="n">
        <v>0</v>
      </c>
      <c r="J74" s="680" t="n">
        <v>0</v>
      </c>
      <c r="K74" s="680" t="n">
        <v>0</v>
      </c>
      <c r="L74" s="680" t="n">
        <v>0</v>
      </c>
      <c r="M74" s="680" t="n">
        <v>0</v>
      </c>
      <c r="N74" s="680" t="n">
        <v>0</v>
      </c>
      <c r="O74" s="680" t="n">
        <v>0</v>
      </c>
      <c r="P74" s="680" t="n"/>
      <c r="Q74" s="680" t="n"/>
      <c r="R74" s="681" t="n"/>
      <c r="S74" s="681" t="n"/>
      <c r="T74" s="681" t="n"/>
      <c r="U74" s="681" t="n"/>
      <c r="V74" s="681" t="n"/>
      <c r="W74" s="681" t="n"/>
      <c r="X74" s="681" t="n"/>
      <c r="Y74" s="681" t="n"/>
      <c r="Z74" s="681" t="n"/>
      <c r="AA74" s="681" t="n"/>
      <c r="AB74" s="681" t="n"/>
      <c r="AC74" s="681" t="n"/>
      <c r="AD74" s="681" t="n"/>
      <c r="AE74" s="681" t="n"/>
      <c r="AF74" s="681" t="n"/>
      <c r="AG74" s="681" t="n"/>
      <c r="AH74" s="681" t="n"/>
      <c r="AI74" s="681" t="n"/>
      <c r="AJ74" s="681" t="n"/>
      <c r="AK74" s="681" t="n"/>
      <c r="AL74" s="681" t="n"/>
      <c r="AM74" s="681" t="n"/>
      <c r="AN74" s="681" t="n"/>
      <c r="AO74" s="681" t="n"/>
      <c r="AP74" s="681" t="n"/>
      <c r="AQ74" s="681" t="n"/>
      <c r="AR74" s="681" t="n"/>
      <c r="AT74" s="681" t="n"/>
      <c r="AU74" s="681" t="n"/>
      <c r="AV74" s="681" t="n"/>
      <c r="AW74" s="681" t="n"/>
      <c r="AX74" s="681" t="n"/>
      <c r="AY74" s="681" t="n"/>
      <c r="AZ74" s="681" t="n"/>
      <c r="BA74" s="681" t="n"/>
      <c r="BB74" s="681" t="n"/>
      <c r="BC74" s="681" t="n"/>
      <c r="BD74" s="681" t="n"/>
      <c r="BE74" s="681" t="n"/>
      <c r="BH74" s="681" t="n"/>
      <c r="BI74" s="681" t="n"/>
      <c r="BJ74" s="681" t="n"/>
      <c r="BK74" s="681" t="n"/>
      <c r="BL74" s="681" t="n"/>
      <c r="BM74" s="681" t="n"/>
      <c r="BN74" s="681" t="n"/>
      <c r="BO74" s="681" t="n"/>
      <c r="BP74" s="681" t="n"/>
      <c r="BQ74" s="681" t="n"/>
      <c r="BR74" s="681" t="n"/>
      <c r="BS74" s="681" t="n"/>
    </row>
    <row r="75">
      <c r="C75" s="680" t="n"/>
      <c r="D75" s="680" t="n"/>
      <c r="E75" s="680" t="n"/>
      <c r="F75" s="680" t="n"/>
      <c r="G75" s="680" t="n"/>
      <c r="H75" s="680" t="n"/>
      <c r="I75" s="680" t="n"/>
      <c r="J75" s="680" t="n"/>
      <c r="K75" s="680" t="n"/>
      <c r="L75" s="680" t="n"/>
      <c r="M75" s="680" t="n"/>
      <c r="N75" s="680" t="n"/>
      <c r="O75" s="680" t="n"/>
      <c r="P75" s="680" t="n"/>
      <c r="Q75" s="680" t="n"/>
      <c r="R75" s="681" t="n"/>
      <c r="S75" s="681" t="n"/>
      <c r="T75" s="681" t="n"/>
      <c r="U75" s="681" t="n"/>
      <c r="V75" s="681" t="n"/>
      <c r="W75" s="681" t="n"/>
      <c r="X75" s="681" t="n"/>
      <c r="Y75" s="681" t="n"/>
      <c r="Z75" s="681" t="n"/>
      <c r="AA75" s="681" t="n"/>
      <c r="AB75" s="681" t="n"/>
      <c r="AC75" s="681" t="n"/>
      <c r="AD75" s="681" t="n"/>
      <c r="AE75" s="681" t="n"/>
      <c r="AF75" s="681" t="n"/>
      <c r="AG75" s="681" t="n"/>
      <c r="AH75" s="681" t="n"/>
      <c r="AI75" s="681" t="n"/>
      <c r="AJ75" s="681" t="n"/>
      <c r="AK75" s="681" t="n"/>
      <c r="AL75" s="681" t="n"/>
      <c r="AM75" s="681" t="n"/>
      <c r="AN75" s="681" t="n"/>
      <c r="AO75" s="681" t="n"/>
      <c r="AP75" s="681" t="n"/>
      <c r="AQ75" s="681" t="n"/>
      <c r="AR75" s="681" t="n"/>
      <c r="AT75" s="681" t="n"/>
      <c r="AU75" s="681" t="n"/>
      <c r="AV75" s="681" t="n"/>
      <c r="AW75" s="681" t="n"/>
      <c r="AX75" s="681" t="n"/>
      <c r="AY75" s="681" t="n"/>
      <c r="AZ75" s="681" t="n"/>
      <c r="BA75" s="681" t="n"/>
      <c r="BB75" s="681" t="n"/>
      <c r="BC75" s="681" t="n"/>
      <c r="BD75" s="681" t="n"/>
      <c r="BE75" s="681" t="n"/>
      <c r="BH75" s="681" t="n"/>
      <c r="BI75" s="681" t="n"/>
      <c r="BJ75" s="681" t="n"/>
      <c r="BK75" s="681" t="n"/>
      <c r="BL75" s="681" t="n"/>
      <c r="BM75" s="681" t="n"/>
      <c r="BN75" s="681" t="n"/>
      <c r="BO75" s="681" t="n"/>
      <c r="BP75" s="681" t="n"/>
      <c r="BQ75" s="681" t="n"/>
      <c r="BR75" s="681" t="n"/>
      <c r="BS75" s="681" t="n"/>
    </row>
    <row r="76">
      <c r="C76" s="680" t="n"/>
      <c r="D76" s="680" t="n"/>
      <c r="E76" s="680" t="n"/>
      <c r="F76" s="680" t="n"/>
      <c r="G76" s="680" t="n"/>
      <c r="H76" s="680" t="n"/>
      <c r="I76" s="680" t="n"/>
      <c r="J76" s="680" t="n"/>
      <c r="K76" s="680" t="n"/>
      <c r="L76" s="680" t="n"/>
      <c r="M76" s="680" t="n"/>
      <c r="N76" s="680" t="n"/>
      <c r="O76" s="680" t="n"/>
      <c r="P76" s="680" t="n"/>
      <c r="Q76" s="680" t="n"/>
      <c r="R76" s="681" t="n"/>
      <c r="S76" s="681" t="n"/>
      <c r="T76" s="681" t="n"/>
      <c r="U76" s="681" t="n"/>
      <c r="V76" s="681" t="n"/>
      <c r="W76" s="681" t="n"/>
      <c r="X76" s="681" t="n"/>
      <c r="Y76" s="681" t="n"/>
      <c r="Z76" s="681" t="n"/>
      <c r="AA76" s="681" t="n"/>
      <c r="AB76" s="681" t="n"/>
      <c r="AC76" s="681" t="n"/>
      <c r="AD76" s="681" t="n"/>
      <c r="AE76" s="681" t="n"/>
      <c r="AF76" s="681" t="n"/>
      <c r="AG76" s="681" t="n"/>
      <c r="AH76" s="681" t="n"/>
      <c r="AI76" s="681" t="n"/>
      <c r="AJ76" s="681" t="n"/>
      <c r="AK76" s="681" t="n"/>
      <c r="AL76" s="681" t="n"/>
      <c r="AM76" s="681" t="n"/>
      <c r="AN76" s="681" t="n"/>
      <c r="AO76" s="681" t="n"/>
      <c r="AP76" s="681" t="n"/>
      <c r="AQ76" s="681" t="n"/>
      <c r="AR76" s="681" t="n"/>
      <c r="AT76" s="681" t="n"/>
      <c r="AU76" s="681" t="n"/>
      <c r="AV76" s="681" t="n"/>
      <c r="AW76" s="681" t="n"/>
      <c r="AX76" s="681" t="n"/>
      <c r="AY76" s="681" t="n"/>
      <c r="AZ76" s="681" t="n"/>
      <c r="BA76" s="681" t="n"/>
      <c r="BB76" s="681" t="n"/>
      <c r="BC76" s="681" t="n"/>
      <c r="BD76" s="681" t="n"/>
      <c r="BE76" s="681" t="n"/>
      <c r="BH76" s="681" t="n"/>
      <c r="BI76" s="681" t="n"/>
      <c r="BJ76" s="681" t="n"/>
      <c r="BK76" s="681" t="n"/>
      <c r="BL76" s="681" t="n"/>
      <c r="BM76" s="681" t="n"/>
      <c r="BN76" s="681" t="n"/>
      <c r="BO76" s="681" t="n"/>
      <c r="BP76" s="681" t="n"/>
      <c r="BQ76" s="681" t="n"/>
      <c r="BR76" s="681" t="n"/>
      <c r="BS76" s="681" t="n"/>
    </row>
    <row r="77" ht="12.75" customHeight="1" thickBot="1">
      <c r="C77" s="682">
        <f>SUM(C4:C76)</f>
        <v/>
      </c>
      <c r="D77" s="682">
        <f>SUM(D4:D76)</f>
        <v/>
      </c>
      <c r="E77" s="682">
        <f>SUM(E4:E76)</f>
        <v/>
      </c>
      <c r="F77" s="682">
        <f>SUM(F4:F76)</f>
        <v/>
      </c>
      <c r="G77" s="682">
        <f>SUM(G4:G76)</f>
        <v/>
      </c>
      <c r="H77" s="682">
        <f>SUM(H4:H76)</f>
        <v/>
      </c>
      <c r="I77" s="682">
        <f>SUM(I4:I76)</f>
        <v/>
      </c>
      <c r="J77" s="682">
        <f>SUM(J4:J76)</f>
        <v/>
      </c>
      <c r="K77" s="682">
        <f>SUM(K4:K76)</f>
        <v/>
      </c>
      <c r="L77" s="682">
        <f>SUM(L4:L76)</f>
        <v/>
      </c>
      <c r="M77" s="682">
        <f>SUM(M4:M76)</f>
        <v/>
      </c>
      <c r="N77" s="682">
        <f>SUM(N4:N76)</f>
        <v/>
      </c>
      <c r="O77" s="682">
        <f>SUM(O4:O76)</f>
        <v/>
      </c>
      <c r="R77" s="682">
        <f>SUM(R4:R76)</f>
        <v/>
      </c>
      <c r="S77" s="682">
        <f>SUM(S4:S76)</f>
        <v/>
      </c>
      <c r="T77" s="682">
        <f>SUM(T4:T76)</f>
        <v/>
      </c>
      <c r="U77" s="682">
        <f>SUM(U4:U76)</f>
        <v/>
      </c>
      <c r="V77" s="682">
        <f>SUM(V4:V76)</f>
        <v/>
      </c>
      <c r="W77" s="682">
        <f>SUM(W4:W76)</f>
        <v/>
      </c>
      <c r="X77" s="682">
        <f>SUM(X4:X76)</f>
        <v/>
      </c>
      <c r="Y77" s="682">
        <f>SUM(Y4:Y76)</f>
        <v/>
      </c>
      <c r="Z77" s="682">
        <f>SUM(Z4:Z76)</f>
        <v/>
      </c>
      <c r="AA77" s="682">
        <f>SUM(AA4:AA76)</f>
        <v/>
      </c>
      <c r="AB77" s="682">
        <f>SUM(AB4:AB76)</f>
        <v/>
      </c>
      <c r="AC77" s="682">
        <f>SUM(AC4:AC76)</f>
        <v/>
      </c>
      <c r="AF77" s="682">
        <f>SUM(AF4:AF76)</f>
        <v/>
      </c>
      <c r="AG77" s="682">
        <f>SUM(AG4:AG76)</f>
        <v/>
      </c>
      <c r="AH77" s="682">
        <f>SUM(AH4:AH76)</f>
        <v/>
      </c>
      <c r="AI77" s="682">
        <f>SUM(AI4:AI76)</f>
        <v/>
      </c>
      <c r="AJ77" s="682">
        <f>SUM(AJ4:AJ76)</f>
        <v/>
      </c>
      <c r="AK77" s="682">
        <f>SUM(AK4:AK76)</f>
        <v/>
      </c>
      <c r="AL77" s="682">
        <f>SUM(AL4:AL76)</f>
        <v/>
      </c>
      <c r="AM77" s="682">
        <f>SUM(AM4:AM76)</f>
        <v/>
      </c>
      <c r="AN77" s="682">
        <f>SUM(AN4:AN76)</f>
        <v/>
      </c>
      <c r="AO77" s="682">
        <f>SUM(AO4:AO76)</f>
        <v/>
      </c>
      <c r="AP77" s="682">
        <f>SUM(AP4:AP76)</f>
        <v/>
      </c>
      <c r="AQ77" s="682">
        <f>SUM(AQ4:AQ76)</f>
        <v/>
      </c>
      <c r="AT77" s="682">
        <f>SUM(AT4:AT76)</f>
        <v/>
      </c>
      <c r="AU77" s="682">
        <f>SUM(AU4:AU76)</f>
        <v/>
      </c>
      <c r="AV77" s="682">
        <f>SUM(AV4:AV76)</f>
        <v/>
      </c>
      <c r="AW77" s="682">
        <f>SUM(AW4:AW76)</f>
        <v/>
      </c>
      <c r="AX77" s="682">
        <f>SUM(AX4:AX76)</f>
        <v/>
      </c>
      <c r="AY77" s="682">
        <f>SUM(AY4:AY76)</f>
        <v/>
      </c>
      <c r="AZ77" s="682">
        <f>SUM(AZ4:AZ76)</f>
        <v/>
      </c>
      <c r="BA77" s="682">
        <f>SUM(BA4:BA76)</f>
        <v/>
      </c>
      <c r="BB77" s="682">
        <f>SUM(BB4:BB76)</f>
        <v/>
      </c>
      <c r="BC77" s="682">
        <f>SUM(BC4:BC76)</f>
        <v/>
      </c>
      <c r="BD77" s="682">
        <f>SUM(BD4:BD76)</f>
        <v/>
      </c>
      <c r="BE77" s="682">
        <f>SUM(BE4:BE76)</f>
        <v/>
      </c>
      <c r="BH77" s="682">
        <f>SUM(BH4:BH76)</f>
        <v/>
      </c>
      <c r="BI77" s="682">
        <f>SUM(BI4:BI76)</f>
        <v/>
      </c>
      <c r="BJ77" s="682">
        <f>SUM(BJ4:BJ76)</f>
        <v/>
      </c>
      <c r="BK77" s="682">
        <f>SUM(BK4:BK76)</f>
        <v/>
      </c>
      <c r="BL77" s="682">
        <f>SUM(BL4:BL76)</f>
        <v/>
      </c>
      <c r="BM77" s="682">
        <f>SUM(BM4:BM76)</f>
        <v/>
      </c>
      <c r="BN77" s="682">
        <f>SUM(BN4:BN76)</f>
        <v/>
      </c>
      <c r="BO77" s="682">
        <f>SUM(BO4:BO76)</f>
        <v/>
      </c>
      <c r="BP77" s="682">
        <f>SUM(BP4:BP76)</f>
        <v/>
      </c>
      <c r="BQ77" s="682">
        <f>SUM(BQ4:BQ76)</f>
        <v/>
      </c>
      <c r="BR77" s="682">
        <f>SUM(BR4:BR76)</f>
        <v/>
      </c>
      <c r="BS77" s="682">
        <f>SUM(BS4:BS76)</f>
        <v/>
      </c>
    </row>
    <row r="78" ht="12.75" customHeight="1" thickTop="1"/>
  </sheetData>
  <autoFilter ref="A3:AQ74"/>
  <pageMargins left="0.7" right="0.7" top="0.75" bottom="0.75" header="0.3" footer="0.3"/>
  <pageSetup orientation="portrait" paperSize="9" scale="71" horizontalDpi="4294967293"/>
  <headerFooter>
    <oddHeader>&amp;C&amp;F!&amp;A</oddHeader>
    <oddFooter>&amp;CPage 3 of 12&amp;R?2016</oddFooter>
    <evenHeader/>
    <evenFooter/>
    <firstHeader/>
    <firstFooter/>
  </headerFooter>
  <colBreaks count="9" manualBreakCount="9">
    <brk id="9" min="0" max="1048575" man="1"/>
    <brk id="16" min="0" max="1048575" man="1"/>
    <brk id="23" min="0" max="1048575" man="1"/>
    <brk id="30" min="0" max="1048575" man="1"/>
    <brk id="37" min="0" max="1048575" man="1"/>
    <brk id="44" min="0" max="1048575" man="1"/>
    <brk id="51" min="0" max="1048575" man="1"/>
    <brk id="58" min="0" max="1048575" man="1"/>
    <brk id="65" min="0" max="1048575" man="1"/>
  </colBreaks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BT40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12" sqref="A12:A17"/>
    </sheetView>
  </sheetViews>
  <sheetFormatPr baseColWidth="8" defaultColWidth="9.140625" defaultRowHeight="12.75"/>
  <cols>
    <col width="29.42578125" bestFit="1" customWidth="1" style="497" min="1" max="1"/>
    <col width="0.42578125" customWidth="1" style="497" min="2" max="2"/>
    <col width="12.7109375" customWidth="1" style="497" min="3" max="15"/>
    <col width="12.7109375" customWidth="1" style="683" min="16" max="16"/>
    <col width="7.140625" customWidth="1" style="497" min="17" max="17"/>
    <col width="12.7109375" customWidth="1" style="9" min="18" max="30"/>
    <col width="9.140625" customWidth="1" style="9" min="31" max="31"/>
    <col width="12.7109375" customWidth="1" style="9" min="32" max="44"/>
    <col width="9.140625" customWidth="1" style="9" min="45" max="45"/>
    <col width="14.7109375" customWidth="1" style="9" min="46" max="58"/>
    <col width="9.140625" customWidth="1" style="9" min="59" max="59"/>
    <col width="14.7109375" customWidth="1" style="9" min="60" max="72"/>
    <col width="9.140625" customWidth="1" style="9" min="73" max="16384"/>
  </cols>
  <sheetData>
    <row r="1" customFormat="1" s="19">
      <c r="A1" s="684">
        <f>SUM(40:40)</f>
        <v/>
      </c>
      <c r="B1" s="685" t="n"/>
      <c r="C1" s="686" t="n"/>
      <c r="D1" s="686" t="inlineStr">
        <is>
          <t>Year 1</t>
        </is>
      </c>
      <c r="E1" s="686" t="inlineStr">
        <is>
          <t>Year 1</t>
        </is>
      </c>
      <c r="F1" s="686" t="inlineStr">
        <is>
          <t>Year 1</t>
        </is>
      </c>
      <c r="G1" s="686" t="inlineStr">
        <is>
          <t>Year 1</t>
        </is>
      </c>
      <c r="H1" s="686" t="inlineStr">
        <is>
          <t>Year 1</t>
        </is>
      </c>
      <c r="I1" s="686" t="inlineStr">
        <is>
          <t>Year 1</t>
        </is>
      </c>
      <c r="J1" s="686" t="inlineStr">
        <is>
          <t>Year 1</t>
        </is>
      </c>
      <c r="K1" s="686" t="inlineStr">
        <is>
          <t>Year 1</t>
        </is>
      </c>
      <c r="L1" s="686" t="inlineStr">
        <is>
          <t>Year 1</t>
        </is>
      </c>
      <c r="M1" s="686" t="inlineStr">
        <is>
          <t>Year 1</t>
        </is>
      </c>
      <c r="N1" s="686" t="inlineStr">
        <is>
          <t>Year 1</t>
        </is>
      </c>
      <c r="O1" s="686" t="inlineStr">
        <is>
          <t>Year 1</t>
        </is>
      </c>
      <c r="P1" s="685" t="n"/>
      <c r="Q1" s="685" t="n"/>
      <c r="R1" s="686" t="inlineStr">
        <is>
          <t>Year 2</t>
        </is>
      </c>
      <c r="S1" s="686" t="inlineStr">
        <is>
          <t>Year 2</t>
        </is>
      </c>
      <c r="T1" s="686" t="inlineStr">
        <is>
          <t>Year 2</t>
        </is>
      </c>
      <c r="U1" s="686" t="inlineStr">
        <is>
          <t>Year 2</t>
        </is>
      </c>
      <c r="V1" s="686" t="inlineStr">
        <is>
          <t>Year 2</t>
        </is>
      </c>
      <c r="W1" s="686" t="inlineStr">
        <is>
          <t>Year 2</t>
        </is>
      </c>
      <c r="X1" s="686" t="inlineStr">
        <is>
          <t>Year 2</t>
        </is>
      </c>
      <c r="Y1" s="686" t="inlineStr">
        <is>
          <t>Year 2</t>
        </is>
      </c>
      <c r="Z1" s="686" t="inlineStr">
        <is>
          <t>Year 2</t>
        </is>
      </c>
      <c r="AA1" s="686" t="inlineStr">
        <is>
          <t>Year 2</t>
        </is>
      </c>
      <c r="AB1" s="686" t="inlineStr">
        <is>
          <t>Year 2</t>
        </is>
      </c>
      <c r="AC1" s="686" t="inlineStr">
        <is>
          <t>Year 2</t>
        </is>
      </c>
      <c r="AF1" s="686" t="inlineStr">
        <is>
          <t>Year 3</t>
        </is>
      </c>
      <c r="AG1" s="686" t="inlineStr">
        <is>
          <t>Year 3</t>
        </is>
      </c>
      <c r="AH1" s="686" t="inlineStr">
        <is>
          <t>Year 3</t>
        </is>
      </c>
      <c r="AI1" s="686" t="inlineStr">
        <is>
          <t>Year 3</t>
        </is>
      </c>
      <c r="AJ1" s="686" t="inlineStr">
        <is>
          <t>Year 3</t>
        </is>
      </c>
      <c r="AK1" s="686" t="inlineStr">
        <is>
          <t>Year 3</t>
        </is>
      </c>
      <c r="AL1" s="686" t="inlineStr">
        <is>
          <t>Year 3</t>
        </is>
      </c>
      <c r="AM1" s="686" t="inlineStr">
        <is>
          <t>Year 3</t>
        </is>
      </c>
      <c r="AN1" s="686" t="inlineStr">
        <is>
          <t>Year 3</t>
        </is>
      </c>
      <c r="AO1" s="686" t="inlineStr">
        <is>
          <t>Year 3</t>
        </is>
      </c>
      <c r="AP1" s="686" t="inlineStr">
        <is>
          <t>Year 3</t>
        </is>
      </c>
      <c r="AQ1" s="686" t="inlineStr">
        <is>
          <t>Year 3</t>
        </is>
      </c>
      <c r="AR1" s="686" t="inlineStr">
        <is>
          <t>Year 3</t>
        </is>
      </c>
      <c r="AT1" s="686" t="inlineStr">
        <is>
          <t>Year 4</t>
        </is>
      </c>
      <c r="AU1" s="686" t="inlineStr">
        <is>
          <t>Year 4</t>
        </is>
      </c>
      <c r="AV1" s="686" t="inlineStr">
        <is>
          <t>Year 4</t>
        </is>
      </c>
      <c r="AW1" s="686" t="inlineStr">
        <is>
          <t>Year 4</t>
        </is>
      </c>
      <c r="AX1" s="686" t="inlineStr">
        <is>
          <t>Year 4</t>
        </is>
      </c>
      <c r="AY1" s="686" t="inlineStr">
        <is>
          <t>Year 4</t>
        </is>
      </c>
      <c r="AZ1" s="686" t="inlineStr">
        <is>
          <t>Year 4</t>
        </is>
      </c>
      <c r="BA1" s="686" t="inlineStr">
        <is>
          <t>Year 4</t>
        </is>
      </c>
      <c r="BB1" s="686" t="inlineStr">
        <is>
          <t>Year 4</t>
        </is>
      </c>
      <c r="BC1" s="686" t="inlineStr">
        <is>
          <t>Year 4</t>
        </is>
      </c>
      <c r="BD1" s="686" t="inlineStr">
        <is>
          <t>Year 4</t>
        </is>
      </c>
      <c r="BE1" s="686" t="inlineStr">
        <is>
          <t>Year 4</t>
        </is>
      </c>
      <c r="BF1" s="686" t="inlineStr">
        <is>
          <t>Year 4</t>
        </is>
      </c>
      <c r="BH1" s="686" t="inlineStr">
        <is>
          <t>Year 5</t>
        </is>
      </c>
      <c r="BI1" s="686" t="inlineStr">
        <is>
          <t>Year 5</t>
        </is>
      </c>
      <c r="BJ1" s="686" t="inlineStr">
        <is>
          <t>Year 5</t>
        </is>
      </c>
      <c r="BK1" s="686" t="inlineStr">
        <is>
          <t>Year 5</t>
        </is>
      </c>
      <c r="BL1" s="686" t="inlineStr">
        <is>
          <t>Year 5</t>
        </is>
      </c>
      <c r="BM1" s="686" t="inlineStr">
        <is>
          <t>Year 5</t>
        </is>
      </c>
      <c r="BN1" s="686" t="inlineStr">
        <is>
          <t>Year 5</t>
        </is>
      </c>
      <c r="BO1" s="686" t="inlineStr">
        <is>
          <t>Year 5</t>
        </is>
      </c>
      <c r="BP1" s="686" t="inlineStr">
        <is>
          <t>Year 5</t>
        </is>
      </c>
      <c r="BQ1" s="686" t="inlineStr">
        <is>
          <t>Year 5</t>
        </is>
      </c>
      <c r="BR1" s="686" t="inlineStr">
        <is>
          <t>Year 5</t>
        </is>
      </c>
      <c r="BS1" s="686" t="inlineStr">
        <is>
          <t>Year 5</t>
        </is>
      </c>
      <c r="BT1" s="686" t="inlineStr">
        <is>
          <t>Year 5</t>
        </is>
      </c>
    </row>
    <row r="2" customFormat="1" s="19">
      <c r="A2" s="685" t="n"/>
      <c r="B2" s="685" t="n"/>
      <c r="C2" s="686" t="inlineStr">
        <is>
          <t>Start Up</t>
        </is>
      </c>
      <c r="D2" s="686" t="inlineStr">
        <is>
          <t>Month 1</t>
        </is>
      </c>
      <c r="E2" s="686" t="inlineStr">
        <is>
          <t>Month 2</t>
        </is>
      </c>
      <c r="F2" s="686" t="inlineStr">
        <is>
          <t>Month 3</t>
        </is>
      </c>
      <c r="G2" s="686" t="inlineStr">
        <is>
          <t>Month 4</t>
        </is>
      </c>
      <c r="H2" s="686" t="inlineStr">
        <is>
          <t>Month 5</t>
        </is>
      </c>
      <c r="I2" s="686" t="inlineStr">
        <is>
          <t>Month 6</t>
        </is>
      </c>
      <c r="J2" s="686" t="inlineStr">
        <is>
          <t>Month 7</t>
        </is>
      </c>
      <c r="K2" s="686" t="inlineStr">
        <is>
          <t>Month 8</t>
        </is>
      </c>
      <c r="L2" s="686" t="inlineStr">
        <is>
          <t>Month 9</t>
        </is>
      </c>
      <c r="M2" s="686" t="inlineStr">
        <is>
          <t>Month 10</t>
        </is>
      </c>
      <c r="N2" s="686" t="inlineStr">
        <is>
          <t>Month 11</t>
        </is>
      </c>
      <c r="O2" s="686" t="inlineStr">
        <is>
          <t>Month 12</t>
        </is>
      </c>
      <c r="P2" s="686" t="inlineStr">
        <is>
          <t>Totals</t>
        </is>
      </c>
      <c r="Q2" s="686" t="n"/>
      <c r="R2" s="686" t="inlineStr">
        <is>
          <t>Month 1</t>
        </is>
      </c>
      <c r="S2" s="686" t="inlineStr">
        <is>
          <t>Month 2</t>
        </is>
      </c>
      <c r="T2" s="686" t="inlineStr">
        <is>
          <t>Month 3</t>
        </is>
      </c>
      <c r="U2" s="686" t="inlineStr">
        <is>
          <t>Month 4</t>
        </is>
      </c>
      <c r="V2" s="686" t="inlineStr">
        <is>
          <t>Month 5</t>
        </is>
      </c>
      <c r="W2" s="686" t="inlineStr">
        <is>
          <t>Month 6</t>
        </is>
      </c>
      <c r="X2" s="686" t="inlineStr">
        <is>
          <t>Month 7</t>
        </is>
      </c>
      <c r="Y2" s="686" t="inlineStr">
        <is>
          <t>Month 8</t>
        </is>
      </c>
      <c r="Z2" s="686" t="inlineStr">
        <is>
          <t>Month 9</t>
        </is>
      </c>
      <c r="AA2" s="686" t="inlineStr">
        <is>
          <t>Month 10</t>
        </is>
      </c>
      <c r="AB2" s="686" t="inlineStr">
        <is>
          <t>Month 11</t>
        </is>
      </c>
      <c r="AC2" s="686" t="inlineStr">
        <is>
          <t>Month 12</t>
        </is>
      </c>
      <c r="AD2" s="686" t="inlineStr">
        <is>
          <t>Totals</t>
        </is>
      </c>
      <c r="AF2" s="686" t="inlineStr">
        <is>
          <t>Month 1</t>
        </is>
      </c>
      <c r="AG2" s="686" t="inlineStr">
        <is>
          <t>Month 2</t>
        </is>
      </c>
      <c r="AH2" s="686" t="inlineStr">
        <is>
          <t>Month 3</t>
        </is>
      </c>
      <c r="AI2" s="686" t="inlineStr">
        <is>
          <t>Month 4</t>
        </is>
      </c>
      <c r="AJ2" s="686" t="inlineStr">
        <is>
          <t>Month 5</t>
        </is>
      </c>
      <c r="AK2" s="686" t="inlineStr">
        <is>
          <t>Month 6</t>
        </is>
      </c>
      <c r="AL2" s="686" t="inlineStr">
        <is>
          <t>Month 7</t>
        </is>
      </c>
      <c r="AM2" s="686" t="inlineStr">
        <is>
          <t>Month 8</t>
        </is>
      </c>
      <c r="AN2" s="686" t="inlineStr">
        <is>
          <t>Month 9</t>
        </is>
      </c>
      <c r="AO2" s="686" t="inlineStr">
        <is>
          <t>Month 10</t>
        </is>
      </c>
      <c r="AP2" s="686" t="inlineStr">
        <is>
          <t>Month 11</t>
        </is>
      </c>
      <c r="AQ2" s="686" t="inlineStr">
        <is>
          <t>Month 12</t>
        </is>
      </c>
      <c r="AR2" s="686" t="inlineStr">
        <is>
          <t>Totals</t>
        </is>
      </c>
      <c r="AT2" s="686" t="inlineStr">
        <is>
          <t>Month 1</t>
        </is>
      </c>
      <c r="AU2" s="686" t="inlineStr">
        <is>
          <t>Month 2</t>
        </is>
      </c>
      <c r="AV2" s="686" t="inlineStr">
        <is>
          <t>Month 3</t>
        </is>
      </c>
      <c r="AW2" s="686" t="inlineStr">
        <is>
          <t>Month 4</t>
        </is>
      </c>
      <c r="AX2" s="686" t="inlineStr">
        <is>
          <t>Month 5</t>
        </is>
      </c>
      <c r="AY2" s="686" t="inlineStr">
        <is>
          <t>Month 6</t>
        </is>
      </c>
      <c r="AZ2" s="686" t="inlineStr">
        <is>
          <t>Month 7</t>
        </is>
      </c>
      <c r="BA2" s="686" t="inlineStr">
        <is>
          <t>Month 8</t>
        </is>
      </c>
      <c r="BB2" s="686" t="inlineStr">
        <is>
          <t>Month 9</t>
        </is>
      </c>
      <c r="BC2" s="686" t="inlineStr">
        <is>
          <t>Month 10</t>
        </is>
      </c>
      <c r="BD2" s="686" t="inlineStr">
        <is>
          <t>Month 11</t>
        </is>
      </c>
      <c r="BE2" s="686" t="inlineStr">
        <is>
          <t>Month 12</t>
        </is>
      </c>
      <c r="BF2" s="686" t="inlineStr">
        <is>
          <t>Totals</t>
        </is>
      </c>
      <c r="BH2" s="686" t="inlineStr">
        <is>
          <t>Month 1</t>
        </is>
      </c>
      <c r="BI2" s="686" t="inlineStr">
        <is>
          <t>Month 2</t>
        </is>
      </c>
      <c r="BJ2" s="686" t="inlineStr">
        <is>
          <t>Month 3</t>
        </is>
      </c>
      <c r="BK2" s="686" t="inlineStr">
        <is>
          <t>Month 4</t>
        </is>
      </c>
      <c r="BL2" s="686" t="inlineStr">
        <is>
          <t>Month 5</t>
        </is>
      </c>
      <c r="BM2" s="686" t="inlineStr">
        <is>
          <t>Month 6</t>
        </is>
      </c>
      <c r="BN2" s="686" t="inlineStr">
        <is>
          <t>Month 7</t>
        </is>
      </c>
      <c r="BO2" s="686" t="inlineStr">
        <is>
          <t>Month 8</t>
        </is>
      </c>
      <c r="BP2" s="686" t="inlineStr">
        <is>
          <t>Month 9</t>
        </is>
      </c>
      <c r="BQ2" s="686" t="inlineStr">
        <is>
          <t>Month 10</t>
        </is>
      </c>
      <c r="BR2" s="686" t="inlineStr">
        <is>
          <t>Month 11</t>
        </is>
      </c>
      <c r="BS2" s="686" t="inlineStr">
        <is>
          <t>Month 12</t>
        </is>
      </c>
      <c r="BT2" s="686" t="inlineStr">
        <is>
          <t>Totals</t>
        </is>
      </c>
    </row>
    <row r="3" customFormat="1" s="20">
      <c r="A3" s="686" t="n"/>
      <c r="B3" s="686" t="n"/>
      <c r="C3" s="686" t="inlineStr">
        <is>
          <t>Journals</t>
        </is>
      </c>
      <c r="D3" s="686" t="inlineStr">
        <is>
          <t>Journals</t>
        </is>
      </c>
      <c r="E3" s="686" t="inlineStr">
        <is>
          <t>Journals</t>
        </is>
      </c>
      <c r="F3" s="686" t="inlineStr">
        <is>
          <t>Journals</t>
        </is>
      </c>
      <c r="G3" s="686" t="inlineStr">
        <is>
          <t>Journals</t>
        </is>
      </c>
      <c r="H3" s="686" t="inlineStr">
        <is>
          <t>Journals</t>
        </is>
      </c>
      <c r="I3" s="686" t="inlineStr">
        <is>
          <t>Journals</t>
        </is>
      </c>
      <c r="J3" s="686" t="inlineStr">
        <is>
          <t>Journals</t>
        </is>
      </c>
      <c r="K3" s="686" t="inlineStr">
        <is>
          <t>Journals</t>
        </is>
      </c>
      <c r="L3" s="686" t="inlineStr">
        <is>
          <t>Journals</t>
        </is>
      </c>
      <c r="M3" s="686" t="inlineStr">
        <is>
          <t>Journals</t>
        </is>
      </c>
      <c r="N3" s="686" t="inlineStr">
        <is>
          <t>Journals</t>
        </is>
      </c>
      <c r="O3" s="686" t="inlineStr">
        <is>
          <t>Journals</t>
        </is>
      </c>
      <c r="P3" s="686" t="inlineStr">
        <is>
          <t>Journals</t>
        </is>
      </c>
      <c r="Q3" s="686" t="n"/>
      <c r="R3" s="686" t="inlineStr">
        <is>
          <t>Journals</t>
        </is>
      </c>
      <c r="S3" s="686" t="inlineStr">
        <is>
          <t>Journals</t>
        </is>
      </c>
      <c r="T3" s="686" t="inlineStr">
        <is>
          <t>Journals</t>
        </is>
      </c>
      <c r="U3" s="686" t="inlineStr">
        <is>
          <t>Journals</t>
        </is>
      </c>
      <c r="V3" s="686" t="inlineStr">
        <is>
          <t>Journals</t>
        </is>
      </c>
      <c r="W3" s="686" t="inlineStr">
        <is>
          <t>Journals</t>
        </is>
      </c>
      <c r="X3" s="686" t="inlineStr">
        <is>
          <t>Journals</t>
        </is>
      </c>
      <c r="Y3" s="686" t="inlineStr">
        <is>
          <t>Journals</t>
        </is>
      </c>
      <c r="Z3" s="686" t="inlineStr">
        <is>
          <t>Journals</t>
        </is>
      </c>
      <c r="AA3" s="686" t="inlineStr">
        <is>
          <t>Journals</t>
        </is>
      </c>
      <c r="AB3" s="686" t="inlineStr">
        <is>
          <t>Journals</t>
        </is>
      </c>
      <c r="AC3" s="686" t="inlineStr">
        <is>
          <t>Journals</t>
        </is>
      </c>
      <c r="AD3" s="686" t="inlineStr">
        <is>
          <t>Journals</t>
        </is>
      </c>
      <c r="AF3" s="686" t="inlineStr">
        <is>
          <t>Journals</t>
        </is>
      </c>
      <c r="AG3" s="686" t="inlineStr">
        <is>
          <t>Journals</t>
        </is>
      </c>
      <c r="AH3" s="686" t="inlineStr">
        <is>
          <t>Journals</t>
        </is>
      </c>
      <c r="AI3" s="686" t="inlineStr">
        <is>
          <t>Journals</t>
        </is>
      </c>
      <c r="AJ3" s="686" t="inlineStr">
        <is>
          <t>Journals</t>
        </is>
      </c>
      <c r="AK3" s="686" t="inlineStr">
        <is>
          <t>Journals</t>
        </is>
      </c>
      <c r="AL3" s="686" t="inlineStr">
        <is>
          <t>Journals</t>
        </is>
      </c>
      <c r="AM3" s="686" t="inlineStr">
        <is>
          <t>Journals</t>
        </is>
      </c>
      <c r="AN3" s="686" t="inlineStr">
        <is>
          <t>Journals</t>
        </is>
      </c>
      <c r="AO3" s="686" t="inlineStr">
        <is>
          <t>Journals</t>
        </is>
      </c>
      <c r="AP3" s="686" t="inlineStr">
        <is>
          <t>Journals</t>
        </is>
      </c>
      <c r="AQ3" s="686" t="inlineStr">
        <is>
          <t>Journals</t>
        </is>
      </c>
      <c r="AR3" s="686" t="inlineStr">
        <is>
          <t>Journals</t>
        </is>
      </c>
      <c r="AT3" s="686" t="inlineStr">
        <is>
          <t>Journals</t>
        </is>
      </c>
      <c r="AU3" s="686" t="inlineStr">
        <is>
          <t>Journals</t>
        </is>
      </c>
      <c r="AV3" s="686" t="inlineStr">
        <is>
          <t>Journals</t>
        </is>
      </c>
      <c r="AW3" s="686" t="inlineStr">
        <is>
          <t>Journals</t>
        </is>
      </c>
      <c r="AX3" s="686" t="inlineStr">
        <is>
          <t>Journals</t>
        </is>
      </c>
      <c r="AY3" s="686" t="inlineStr">
        <is>
          <t>Journals</t>
        </is>
      </c>
      <c r="AZ3" s="686" t="inlineStr">
        <is>
          <t>Journals</t>
        </is>
      </c>
      <c r="BA3" s="686" t="inlineStr">
        <is>
          <t>Journals</t>
        </is>
      </c>
      <c r="BB3" s="686" t="inlineStr">
        <is>
          <t>Journals</t>
        </is>
      </c>
      <c r="BC3" s="686" t="inlineStr">
        <is>
          <t>Journals</t>
        </is>
      </c>
      <c r="BD3" s="686" t="inlineStr">
        <is>
          <t>Journals</t>
        </is>
      </c>
      <c r="BE3" s="686" t="inlineStr">
        <is>
          <t>Journals</t>
        </is>
      </c>
      <c r="BF3" s="686" t="inlineStr">
        <is>
          <t>Journals</t>
        </is>
      </c>
      <c r="BH3" s="686" t="inlineStr">
        <is>
          <t>Journals</t>
        </is>
      </c>
      <c r="BI3" s="686" t="inlineStr">
        <is>
          <t>Journals</t>
        </is>
      </c>
      <c r="BJ3" s="686" t="inlineStr">
        <is>
          <t>Journals</t>
        </is>
      </c>
      <c r="BK3" s="686" t="inlineStr">
        <is>
          <t>Journals</t>
        </is>
      </c>
      <c r="BL3" s="686" t="inlineStr">
        <is>
          <t>Journals</t>
        </is>
      </c>
      <c r="BM3" s="686" t="inlineStr">
        <is>
          <t>Journals</t>
        </is>
      </c>
      <c r="BN3" s="686" t="inlineStr">
        <is>
          <t>Journals</t>
        </is>
      </c>
      <c r="BO3" s="686" t="inlineStr">
        <is>
          <t>Journals</t>
        </is>
      </c>
      <c r="BP3" s="686" t="inlineStr">
        <is>
          <t>Journals</t>
        </is>
      </c>
      <c r="BQ3" s="686" t="inlineStr">
        <is>
          <t>Journals</t>
        </is>
      </c>
      <c r="BR3" s="686" t="inlineStr">
        <is>
          <t>Journals</t>
        </is>
      </c>
      <c r="BS3" s="686" t="inlineStr">
        <is>
          <t>Journals</t>
        </is>
      </c>
      <c r="BT3" s="686" t="inlineStr">
        <is>
          <t>Journals</t>
        </is>
      </c>
    </row>
    <row r="4" customFormat="1" s="1">
      <c r="A4" s="683" t="inlineStr">
        <is>
          <t>Account</t>
        </is>
      </c>
      <c r="B4" s="683" t="n"/>
      <c r="C4" s="686" t="inlineStr">
        <is>
          <t>DR / (CR)</t>
        </is>
      </c>
      <c r="D4" s="686" t="inlineStr">
        <is>
          <t>DR / (CR)</t>
        </is>
      </c>
      <c r="E4" s="686" t="inlineStr">
        <is>
          <t>DR / (CR)</t>
        </is>
      </c>
      <c r="F4" s="686" t="inlineStr">
        <is>
          <t>DR / (CR)</t>
        </is>
      </c>
      <c r="G4" s="686" t="inlineStr">
        <is>
          <t>DR / (CR)</t>
        </is>
      </c>
      <c r="H4" s="686" t="inlineStr">
        <is>
          <t>DR / (CR)</t>
        </is>
      </c>
      <c r="I4" s="686" t="inlineStr">
        <is>
          <t>DR / (CR)</t>
        </is>
      </c>
      <c r="J4" s="686" t="inlineStr">
        <is>
          <t>DR / (CR)</t>
        </is>
      </c>
      <c r="K4" s="686" t="inlineStr">
        <is>
          <t>DR / (CR)</t>
        </is>
      </c>
      <c r="L4" s="686" t="inlineStr">
        <is>
          <t>DR / (CR)</t>
        </is>
      </c>
      <c r="M4" s="686" t="inlineStr">
        <is>
          <t>DR / (CR)</t>
        </is>
      </c>
      <c r="N4" s="686" t="inlineStr">
        <is>
          <t>DR / (CR)</t>
        </is>
      </c>
      <c r="O4" s="686" t="inlineStr">
        <is>
          <t>DR / (CR)</t>
        </is>
      </c>
      <c r="P4" s="686" t="inlineStr">
        <is>
          <t>DR / (CR)</t>
        </is>
      </c>
      <c r="Q4" s="683" t="n"/>
      <c r="R4" s="686" t="inlineStr">
        <is>
          <t>DR / (CR)</t>
        </is>
      </c>
      <c r="S4" s="686" t="inlineStr">
        <is>
          <t>DR / (CR)</t>
        </is>
      </c>
      <c r="T4" s="686" t="inlineStr">
        <is>
          <t>DR / (CR)</t>
        </is>
      </c>
      <c r="U4" s="686" t="inlineStr">
        <is>
          <t>DR / (CR)</t>
        </is>
      </c>
      <c r="V4" s="686" t="inlineStr">
        <is>
          <t>DR / (CR)</t>
        </is>
      </c>
      <c r="W4" s="686" t="inlineStr">
        <is>
          <t>DR / (CR)</t>
        </is>
      </c>
      <c r="X4" s="686" t="inlineStr">
        <is>
          <t>DR / (CR)</t>
        </is>
      </c>
      <c r="Y4" s="686" t="inlineStr">
        <is>
          <t>DR / (CR)</t>
        </is>
      </c>
      <c r="Z4" s="686" t="inlineStr">
        <is>
          <t>DR / (CR)</t>
        </is>
      </c>
      <c r="AA4" s="686" t="inlineStr">
        <is>
          <t>DR / (CR)</t>
        </is>
      </c>
      <c r="AB4" s="686" t="inlineStr">
        <is>
          <t>DR / (CR)</t>
        </is>
      </c>
      <c r="AC4" s="686" t="inlineStr">
        <is>
          <t>DR / (CR)</t>
        </is>
      </c>
      <c r="AD4" s="686" t="inlineStr">
        <is>
          <t>DR / (CR)</t>
        </is>
      </c>
      <c r="AF4" s="686" t="inlineStr">
        <is>
          <t>DR / (CR)</t>
        </is>
      </c>
      <c r="AG4" s="686" t="inlineStr">
        <is>
          <t>DR / (CR)</t>
        </is>
      </c>
      <c r="AH4" s="686" t="inlineStr">
        <is>
          <t>DR / (CR)</t>
        </is>
      </c>
      <c r="AI4" s="686" t="inlineStr">
        <is>
          <t>DR / (CR)</t>
        </is>
      </c>
      <c r="AJ4" s="686" t="inlineStr">
        <is>
          <t>DR / (CR)</t>
        </is>
      </c>
      <c r="AK4" s="686" t="inlineStr">
        <is>
          <t>DR / (CR)</t>
        </is>
      </c>
      <c r="AL4" s="686" t="inlineStr">
        <is>
          <t>DR / (CR)</t>
        </is>
      </c>
      <c r="AM4" s="686" t="inlineStr">
        <is>
          <t>DR / (CR)</t>
        </is>
      </c>
      <c r="AN4" s="686" t="inlineStr">
        <is>
          <t>DR / (CR)</t>
        </is>
      </c>
      <c r="AO4" s="686" t="inlineStr">
        <is>
          <t>DR / (CR)</t>
        </is>
      </c>
      <c r="AP4" s="686" t="inlineStr">
        <is>
          <t>DR / (CR)</t>
        </is>
      </c>
      <c r="AQ4" s="686" t="inlineStr">
        <is>
          <t>DR / (CR)</t>
        </is>
      </c>
      <c r="AR4" s="686" t="inlineStr">
        <is>
          <t>DR / (CR)</t>
        </is>
      </c>
      <c r="AT4" s="686" t="inlineStr">
        <is>
          <t>DR / (CR)</t>
        </is>
      </c>
      <c r="AU4" s="686" t="inlineStr">
        <is>
          <t>DR / (CR)</t>
        </is>
      </c>
      <c r="AV4" s="686" t="inlineStr">
        <is>
          <t>DR / (CR)</t>
        </is>
      </c>
      <c r="AW4" s="686" t="inlineStr">
        <is>
          <t>DR / (CR)</t>
        </is>
      </c>
      <c r="AX4" s="686" t="inlineStr">
        <is>
          <t>DR / (CR)</t>
        </is>
      </c>
      <c r="AY4" s="686" t="inlineStr">
        <is>
          <t>DR / (CR)</t>
        </is>
      </c>
      <c r="AZ4" s="686" t="inlineStr">
        <is>
          <t>DR / (CR)</t>
        </is>
      </c>
      <c r="BA4" s="686" t="inlineStr">
        <is>
          <t>DR / (CR)</t>
        </is>
      </c>
      <c r="BB4" s="686" t="inlineStr">
        <is>
          <t>DR / (CR)</t>
        </is>
      </c>
      <c r="BC4" s="686" t="inlineStr">
        <is>
          <t>DR / (CR)</t>
        </is>
      </c>
      <c r="BD4" s="686" t="inlineStr">
        <is>
          <t>DR / (CR)</t>
        </is>
      </c>
      <c r="BE4" s="686" t="inlineStr">
        <is>
          <t>DR / (CR)</t>
        </is>
      </c>
      <c r="BF4" s="686" t="inlineStr">
        <is>
          <t>DR / (CR)</t>
        </is>
      </c>
      <c r="BH4" s="686" t="inlineStr">
        <is>
          <t>DR / (CR)</t>
        </is>
      </c>
      <c r="BI4" s="686" t="inlineStr">
        <is>
          <t>DR / (CR)</t>
        </is>
      </c>
      <c r="BJ4" s="686" t="inlineStr">
        <is>
          <t>DR / (CR)</t>
        </is>
      </c>
      <c r="BK4" s="686" t="inlineStr">
        <is>
          <t>DR / (CR)</t>
        </is>
      </c>
      <c r="BL4" s="686" t="inlineStr">
        <is>
          <t>DR / (CR)</t>
        </is>
      </c>
      <c r="BM4" s="686" t="inlineStr">
        <is>
          <t>DR / (CR)</t>
        </is>
      </c>
      <c r="BN4" s="686" t="inlineStr">
        <is>
          <t>DR / (CR)</t>
        </is>
      </c>
      <c r="BO4" s="686" t="inlineStr">
        <is>
          <t>DR / (CR)</t>
        </is>
      </c>
      <c r="BP4" s="686" t="inlineStr">
        <is>
          <t>DR / (CR)</t>
        </is>
      </c>
      <c r="BQ4" s="686" t="inlineStr">
        <is>
          <t>DR / (CR)</t>
        </is>
      </c>
      <c r="BR4" s="686" t="inlineStr">
        <is>
          <t>DR / (CR)</t>
        </is>
      </c>
      <c r="BS4" s="686" t="inlineStr">
        <is>
          <t>DR / (CR)</t>
        </is>
      </c>
      <c r="BT4" s="686" t="inlineStr">
        <is>
          <t>DR / (CR)</t>
        </is>
      </c>
    </row>
    <row r="5">
      <c r="A5" s="497" t="inlineStr">
        <is>
          <t>Daily wifi topups</t>
        </is>
      </c>
      <c r="C5" s="687">
        <f>SUMIF('Jnls Mthly'!$A:$A,'TB Mnthly'!$A5,'Jnls Mthly'!C:C)</f>
        <v/>
      </c>
      <c r="D5" s="687">
        <f>SUMIF('Jnls Mthly'!$A:$A,'TB Mnthly'!$A5,'Jnls Mthly'!D:D)</f>
        <v/>
      </c>
      <c r="E5" s="687">
        <f>SUMIF('Jnls Mthly'!$A:$A,'TB Mnthly'!$A5,'Jnls Mthly'!E:E)</f>
        <v/>
      </c>
      <c r="F5" s="687">
        <f>SUMIF('Jnls Mthly'!$A:$A,'TB Mnthly'!$A5,'Jnls Mthly'!F:F)</f>
        <v/>
      </c>
      <c r="G5" s="687">
        <f>SUMIF('Jnls Mthly'!$A:$A,'TB Mnthly'!$A5,'Jnls Mthly'!G:G)</f>
        <v/>
      </c>
      <c r="H5" s="687">
        <f>SUMIF('Jnls Mthly'!$A:$A,'TB Mnthly'!$A5,'Jnls Mthly'!H:H)</f>
        <v/>
      </c>
      <c r="I5" s="687">
        <f>SUMIF('Jnls Mthly'!$A:$A,'TB Mnthly'!$A5,'Jnls Mthly'!I:I)</f>
        <v/>
      </c>
      <c r="J5" s="687">
        <f>SUMIF('Jnls Mthly'!$A:$A,'TB Mnthly'!$A5,'Jnls Mthly'!J:J)</f>
        <v/>
      </c>
      <c r="K5" s="687">
        <f>SUMIF('Jnls Mthly'!$A:$A,'TB Mnthly'!$A5,'Jnls Mthly'!K:K)</f>
        <v/>
      </c>
      <c r="L5" s="687">
        <f>SUMIF('Jnls Mthly'!$A:$A,'TB Mnthly'!$A5,'Jnls Mthly'!L:L)</f>
        <v/>
      </c>
      <c r="M5" s="687">
        <f>SUMIF('Jnls Mthly'!$A:$A,'TB Mnthly'!$A5,'Jnls Mthly'!M:M)</f>
        <v/>
      </c>
      <c r="N5" s="687">
        <f>SUMIF('Jnls Mthly'!$A:$A,'TB Mnthly'!$A5,'Jnls Mthly'!N:N)</f>
        <v/>
      </c>
      <c r="O5" s="687">
        <f>SUMIF('Jnls Mthly'!$A:$A,'TB Mnthly'!$A5,'Jnls Mthly'!O:O)</f>
        <v/>
      </c>
      <c r="P5" s="687">
        <f>SUM(C5:O5)</f>
        <v/>
      </c>
      <c r="Q5" s="680" t="n"/>
      <c r="R5" s="687">
        <f>SUMIF('Jnls Mthly'!$A:$A,'TB Mnthly'!$A5,'Jnls Mthly'!R:R)</f>
        <v/>
      </c>
      <c r="S5" s="687">
        <f>SUMIF('Jnls Mthly'!$A:$A,'TB Mnthly'!$A5,'Jnls Mthly'!S:S)</f>
        <v/>
      </c>
      <c r="T5" s="687">
        <f>SUMIF('Jnls Mthly'!$A:$A,'TB Mnthly'!$A5,'Jnls Mthly'!T:T)</f>
        <v/>
      </c>
      <c r="U5" s="687">
        <f>SUMIF('Jnls Mthly'!$A:$A,'TB Mnthly'!$A5,'Jnls Mthly'!U:U)</f>
        <v/>
      </c>
      <c r="V5" s="687">
        <f>SUMIF('Jnls Mthly'!$A:$A,'TB Mnthly'!$A5,'Jnls Mthly'!V:V)</f>
        <v/>
      </c>
      <c r="W5" s="687">
        <f>SUMIF('Jnls Mthly'!$A:$A,'TB Mnthly'!$A5,'Jnls Mthly'!W:W)</f>
        <v/>
      </c>
      <c r="X5" s="687">
        <f>SUMIF('Jnls Mthly'!$A:$A,'TB Mnthly'!$A5,'Jnls Mthly'!X:X)</f>
        <v/>
      </c>
      <c r="Y5" s="687">
        <f>SUMIF('Jnls Mthly'!$A:$A,'TB Mnthly'!$A5,'Jnls Mthly'!Y:Y)</f>
        <v/>
      </c>
      <c r="Z5" s="687">
        <f>SUMIF('Jnls Mthly'!$A:$A,'TB Mnthly'!$A5,'Jnls Mthly'!Z:Z)</f>
        <v/>
      </c>
      <c r="AA5" s="687">
        <f>SUMIF('Jnls Mthly'!$A:$A,'TB Mnthly'!$A5,'Jnls Mthly'!AA:AA)</f>
        <v/>
      </c>
      <c r="AB5" s="687">
        <f>SUMIF('Jnls Mthly'!$A:$A,'TB Mnthly'!$A5,'Jnls Mthly'!AB:AB)</f>
        <v/>
      </c>
      <c r="AC5" s="687">
        <f>SUMIF('Jnls Mthly'!$A:$A,'TB Mnthly'!$A5,'Jnls Mthly'!AC:AC)</f>
        <v/>
      </c>
      <c r="AD5" s="687">
        <f>SUM(Q5:AC5)</f>
        <v/>
      </c>
      <c r="AE5" s="680" t="n"/>
      <c r="AF5" s="687">
        <f>SUMIF('Jnls Mthly'!$A:$A,'TB Mnthly'!$A5,'Jnls Mthly'!AF:AF)</f>
        <v/>
      </c>
      <c r="AG5" s="687">
        <f>SUMIF('Jnls Mthly'!$A:$A,'TB Mnthly'!$A5,'Jnls Mthly'!AG:AG)</f>
        <v/>
      </c>
      <c r="AH5" s="687">
        <f>SUMIF('Jnls Mthly'!$A:$A,'TB Mnthly'!$A5,'Jnls Mthly'!AH:AH)</f>
        <v/>
      </c>
      <c r="AI5" s="687">
        <f>SUMIF('Jnls Mthly'!$A:$A,'TB Mnthly'!$A5,'Jnls Mthly'!AI:AI)</f>
        <v/>
      </c>
      <c r="AJ5" s="687">
        <f>SUMIF('Jnls Mthly'!$A:$A,'TB Mnthly'!$A5,'Jnls Mthly'!AJ:AJ)</f>
        <v/>
      </c>
      <c r="AK5" s="687">
        <f>SUMIF('Jnls Mthly'!$A:$A,'TB Mnthly'!$A5,'Jnls Mthly'!AK:AK)</f>
        <v/>
      </c>
      <c r="AL5" s="687">
        <f>SUMIF('Jnls Mthly'!$A:$A,'TB Mnthly'!$A5,'Jnls Mthly'!AL:AL)</f>
        <v/>
      </c>
      <c r="AM5" s="687">
        <f>SUMIF('Jnls Mthly'!$A:$A,'TB Mnthly'!$A5,'Jnls Mthly'!AM:AM)</f>
        <v/>
      </c>
      <c r="AN5" s="687">
        <f>SUMIF('Jnls Mthly'!$A:$A,'TB Mnthly'!$A5,'Jnls Mthly'!AN:AN)</f>
        <v/>
      </c>
      <c r="AO5" s="687">
        <f>SUMIF('Jnls Mthly'!$A:$A,'TB Mnthly'!$A5,'Jnls Mthly'!AO:AO)</f>
        <v/>
      </c>
      <c r="AP5" s="687">
        <f>SUMIF('Jnls Mthly'!$A:$A,'TB Mnthly'!$A5,'Jnls Mthly'!AP:AP)</f>
        <v/>
      </c>
      <c r="AQ5" s="687">
        <f>SUMIF('Jnls Mthly'!$A:$A,'TB Mnthly'!$A5,'Jnls Mthly'!AQ:AQ)</f>
        <v/>
      </c>
      <c r="AR5" s="687">
        <f>SUM(AE5:AQ5)</f>
        <v/>
      </c>
      <c r="AS5" s="680" t="n"/>
      <c r="AT5" s="687">
        <f>SUMIF('Jnls Mthly'!$A:$A,'TB Mnthly'!$A5,'Jnls Mthly'!AT:AT)</f>
        <v/>
      </c>
      <c r="AU5" s="687">
        <f>SUMIF('Jnls Mthly'!$A:$A,'TB Mnthly'!$A5,'Jnls Mthly'!AU:AU)</f>
        <v/>
      </c>
      <c r="AV5" s="687">
        <f>SUMIF('Jnls Mthly'!$A:$A,'TB Mnthly'!$A5,'Jnls Mthly'!AV:AV)</f>
        <v/>
      </c>
      <c r="AW5" s="687">
        <f>SUMIF('Jnls Mthly'!$A:$A,'TB Mnthly'!$A5,'Jnls Mthly'!AW:AW)</f>
        <v/>
      </c>
      <c r="AX5" s="687">
        <f>SUMIF('Jnls Mthly'!$A:$A,'TB Mnthly'!$A5,'Jnls Mthly'!AX:AX)</f>
        <v/>
      </c>
      <c r="AY5" s="687">
        <f>SUMIF('Jnls Mthly'!$A:$A,'TB Mnthly'!$A5,'Jnls Mthly'!AY:AY)</f>
        <v/>
      </c>
      <c r="AZ5" s="687">
        <f>SUMIF('Jnls Mthly'!$A:$A,'TB Mnthly'!$A5,'Jnls Mthly'!AZ:AZ)</f>
        <v/>
      </c>
      <c r="BA5" s="687">
        <f>SUMIF('Jnls Mthly'!$A:$A,'TB Mnthly'!$A5,'Jnls Mthly'!BA:BA)</f>
        <v/>
      </c>
      <c r="BB5" s="687">
        <f>SUMIF('Jnls Mthly'!$A:$A,'TB Mnthly'!$A5,'Jnls Mthly'!BB:BB)</f>
        <v/>
      </c>
      <c r="BC5" s="687">
        <f>SUMIF('Jnls Mthly'!$A:$A,'TB Mnthly'!$A5,'Jnls Mthly'!BC:BC)</f>
        <v/>
      </c>
      <c r="BD5" s="687">
        <f>SUMIF('Jnls Mthly'!$A:$A,'TB Mnthly'!$A5,'Jnls Mthly'!BD:BD)</f>
        <v/>
      </c>
      <c r="BE5" s="687">
        <f>SUMIF('Jnls Mthly'!$A:$A,'TB Mnthly'!$A5,'Jnls Mthly'!BE:BE)</f>
        <v/>
      </c>
      <c r="BF5" s="687">
        <f>SUM(AS5:BE5)</f>
        <v/>
      </c>
      <c r="BH5" s="687">
        <f>SUMIF('Jnls Mthly'!$A:$A,'TB Mnthly'!$A5,'Jnls Mthly'!BH:BH)</f>
        <v/>
      </c>
      <c r="BI5" s="687">
        <f>SUMIF('Jnls Mthly'!$A:$A,'TB Mnthly'!$A5,'Jnls Mthly'!BI:BI)</f>
        <v/>
      </c>
      <c r="BJ5" s="687">
        <f>SUMIF('Jnls Mthly'!$A:$A,'TB Mnthly'!$A5,'Jnls Mthly'!BJ:BJ)</f>
        <v/>
      </c>
      <c r="BK5" s="687">
        <f>SUMIF('Jnls Mthly'!$A:$A,'TB Mnthly'!$A5,'Jnls Mthly'!BK:BK)</f>
        <v/>
      </c>
      <c r="BL5" s="687">
        <f>SUMIF('Jnls Mthly'!$A:$A,'TB Mnthly'!$A5,'Jnls Mthly'!BL:BL)</f>
        <v/>
      </c>
      <c r="BM5" s="687">
        <f>SUMIF('Jnls Mthly'!$A:$A,'TB Mnthly'!$A5,'Jnls Mthly'!BM:BM)</f>
        <v/>
      </c>
      <c r="BN5" s="687">
        <f>SUMIF('Jnls Mthly'!$A:$A,'TB Mnthly'!$A5,'Jnls Mthly'!BN:BN)</f>
        <v/>
      </c>
      <c r="BO5" s="687">
        <f>SUMIF('Jnls Mthly'!$A:$A,'TB Mnthly'!$A5,'Jnls Mthly'!BO:BO)</f>
        <v/>
      </c>
      <c r="BP5" s="687">
        <f>SUMIF('Jnls Mthly'!$A:$A,'TB Mnthly'!$A5,'Jnls Mthly'!BP:BP)</f>
        <v/>
      </c>
      <c r="BQ5" s="687">
        <f>SUMIF('Jnls Mthly'!$A:$A,'TB Mnthly'!$A5,'Jnls Mthly'!BQ:BQ)</f>
        <v/>
      </c>
      <c r="BR5" s="687">
        <f>SUMIF('Jnls Mthly'!$A:$A,'TB Mnthly'!$A5,'Jnls Mthly'!BR:BR)</f>
        <v/>
      </c>
      <c r="BS5" s="687">
        <f>SUMIF('Jnls Mthly'!$A:$A,'TB Mnthly'!$A5,'Jnls Mthly'!BS:BS)</f>
        <v/>
      </c>
      <c r="BT5" s="687">
        <f>SUM(BG5:BS5)</f>
        <v/>
      </c>
    </row>
    <row r="6">
      <c r="A6" s="497" t="inlineStr">
        <is>
          <t>Weekly wifi topups</t>
        </is>
      </c>
      <c r="C6" s="687">
        <f>SUMIF('Jnls Mthly'!$A:$A,'TB Mnthly'!$A6,'Jnls Mthly'!C:C)</f>
        <v/>
      </c>
      <c r="D6" s="687">
        <f>SUMIF('Jnls Mthly'!$A:$A,'TB Mnthly'!$A6,'Jnls Mthly'!D:D)</f>
        <v/>
      </c>
      <c r="E6" s="687">
        <f>SUMIF('Jnls Mthly'!$A:$A,'TB Mnthly'!$A6,'Jnls Mthly'!E:E)</f>
        <v/>
      </c>
      <c r="F6" s="687">
        <f>SUMIF('Jnls Mthly'!$A:$A,'TB Mnthly'!$A6,'Jnls Mthly'!F:F)</f>
        <v/>
      </c>
      <c r="G6" s="687">
        <f>SUMIF('Jnls Mthly'!$A:$A,'TB Mnthly'!$A6,'Jnls Mthly'!G:G)</f>
        <v/>
      </c>
      <c r="H6" s="687">
        <f>SUMIF('Jnls Mthly'!$A:$A,'TB Mnthly'!$A6,'Jnls Mthly'!H:H)</f>
        <v/>
      </c>
      <c r="I6" s="687">
        <f>SUMIF('Jnls Mthly'!$A:$A,'TB Mnthly'!$A6,'Jnls Mthly'!I:I)</f>
        <v/>
      </c>
      <c r="J6" s="687">
        <f>SUMIF('Jnls Mthly'!$A:$A,'TB Mnthly'!$A6,'Jnls Mthly'!J:J)</f>
        <v/>
      </c>
      <c r="K6" s="687">
        <f>SUMIF('Jnls Mthly'!$A:$A,'TB Mnthly'!$A6,'Jnls Mthly'!K:K)</f>
        <v/>
      </c>
      <c r="L6" s="687">
        <f>SUMIF('Jnls Mthly'!$A:$A,'TB Mnthly'!$A6,'Jnls Mthly'!L:L)</f>
        <v/>
      </c>
      <c r="M6" s="687">
        <f>SUMIF('Jnls Mthly'!$A:$A,'TB Mnthly'!$A6,'Jnls Mthly'!M:M)</f>
        <v/>
      </c>
      <c r="N6" s="687">
        <f>SUMIF('Jnls Mthly'!$A:$A,'TB Mnthly'!$A6,'Jnls Mthly'!N:N)</f>
        <v/>
      </c>
      <c r="O6" s="687">
        <f>SUMIF('Jnls Mthly'!$A:$A,'TB Mnthly'!$A6,'Jnls Mthly'!O:O)</f>
        <v/>
      </c>
      <c r="P6" s="687">
        <f>SUM(C6:O6)</f>
        <v/>
      </c>
      <c r="Q6" s="680" t="n"/>
      <c r="R6" s="687">
        <f>SUMIF('Jnls Mthly'!$A:$A,'TB Mnthly'!$A6,'Jnls Mthly'!R:R)</f>
        <v/>
      </c>
      <c r="S6" s="687">
        <f>SUMIF('Jnls Mthly'!$A:$A,'TB Mnthly'!$A6,'Jnls Mthly'!S:S)</f>
        <v/>
      </c>
      <c r="T6" s="687">
        <f>SUMIF('Jnls Mthly'!$A:$A,'TB Mnthly'!$A6,'Jnls Mthly'!T:T)</f>
        <v/>
      </c>
      <c r="U6" s="687">
        <f>SUMIF('Jnls Mthly'!$A:$A,'TB Mnthly'!$A6,'Jnls Mthly'!U:U)</f>
        <v/>
      </c>
      <c r="V6" s="687">
        <f>SUMIF('Jnls Mthly'!$A:$A,'TB Mnthly'!$A6,'Jnls Mthly'!V:V)</f>
        <v/>
      </c>
      <c r="W6" s="687">
        <f>SUMIF('Jnls Mthly'!$A:$A,'TB Mnthly'!$A6,'Jnls Mthly'!W:W)</f>
        <v/>
      </c>
      <c r="X6" s="687">
        <f>SUMIF('Jnls Mthly'!$A:$A,'TB Mnthly'!$A6,'Jnls Mthly'!X:X)</f>
        <v/>
      </c>
      <c r="Y6" s="687">
        <f>SUMIF('Jnls Mthly'!$A:$A,'TB Mnthly'!$A6,'Jnls Mthly'!Y:Y)</f>
        <v/>
      </c>
      <c r="Z6" s="687">
        <f>SUMIF('Jnls Mthly'!$A:$A,'TB Mnthly'!$A6,'Jnls Mthly'!Z:Z)</f>
        <v/>
      </c>
      <c r="AA6" s="687">
        <f>SUMIF('Jnls Mthly'!$A:$A,'TB Mnthly'!$A6,'Jnls Mthly'!AA:AA)</f>
        <v/>
      </c>
      <c r="AB6" s="687">
        <f>SUMIF('Jnls Mthly'!$A:$A,'TB Mnthly'!$A6,'Jnls Mthly'!AB:AB)</f>
        <v/>
      </c>
      <c r="AC6" s="687">
        <f>SUMIF('Jnls Mthly'!$A:$A,'TB Mnthly'!$A6,'Jnls Mthly'!AC:AC)</f>
        <v/>
      </c>
      <c r="AD6" s="687">
        <f>SUM(Q6:AC6)</f>
        <v/>
      </c>
      <c r="AE6" s="680" t="n"/>
      <c r="AF6" s="687">
        <f>SUMIF('Jnls Mthly'!$A:$A,'TB Mnthly'!$A6,'Jnls Mthly'!AF:AF)</f>
        <v/>
      </c>
      <c r="AG6" s="687">
        <f>SUMIF('Jnls Mthly'!$A:$A,'TB Mnthly'!$A6,'Jnls Mthly'!AG:AG)</f>
        <v/>
      </c>
      <c r="AH6" s="687">
        <f>SUMIF('Jnls Mthly'!$A:$A,'TB Mnthly'!$A6,'Jnls Mthly'!AH:AH)</f>
        <v/>
      </c>
      <c r="AI6" s="687">
        <f>SUMIF('Jnls Mthly'!$A:$A,'TB Mnthly'!$A6,'Jnls Mthly'!AI:AI)</f>
        <v/>
      </c>
      <c r="AJ6" s="687">
        <f>SUMIF('Jnls Mthly'!$A:$A,'TB Mnthly'!$A6,'Jnls Mthly'!AJ:AJ)</f>
        <v/>
      </c>
      <c r="AK6" s="687">
        <f>SUMIF('Jnls Mthly'!$A:$A,'TB Mnthly'!$A6,'Jnls Mthly'!AK:AK)</f>
        <v/>
      </c>
      <c r="AL6" s="687">
        <f>SUMIF('Jnls Mthly'!$A:$A,'TB Mnthly'!$A6,'Jnls Mthly'!AL:AL)</f>
        <v/>
      </c>
      <c r="AM6" s="687">
        <f>SUMIF('Jnls Mthly'!$A:$A,'TB Mnthly'!$A6,'Jnls Mthly'!AM:AM)</f>
        <v/>
      </c>
      <c r="AN6" s="687">
        <f>SUMIF('Jnls Mthly'!$A:$A,'TB Mnthly'!$A6,'Jnls Mthly'!AN:AN)</f>
        <v/>
      </c>
      <c r="AO6" s="687">
        <f>SUMIF('Jnls Mthly'!$A:$A,'TB Mnthly'!$A6,'Jnls Mthly'!AO:AO)</f>
        <v/>
      </c>
      <c r="AP6" s="687">
        <f>SUMIF('Jnls Mthly'!$A:$A,'TB Mnthly'!$A6,'Jnls Mthly'!AP:AP)</f>
        <v/>
      </c>
      <c r="AQ6" s="687">
        <f>SUMIF('Jnls Mthly'!$A:$A,'TB Mnthly'!$A6,'Jnls Mthly'!AQ:AQ)</f>
        <v/>
      </c>
      <c r="AR6" s="687">
        <f>SUM(AE6:AQ6)</f>
        <v/>
      </c>
      <c r="AS6" s="680" t="n"/>
      <c r="AT6" s="687">
        <f>SUMIF('Jnls Mthly'!$A:$A,'TB Mnthly'!$A6,'Jnls Mthly'!AT:AT)</f>
        <v/>
      </c>
      <c r="AU6" s="687">
        <f>SUMIF('Jnls Mthly'!$A:$A,'TB Mnthly'!$A6,'Jnls Mthly'!AU:AU)</f>
        <v/>
      </c>
      <c r="AV6" s="687">
        <f>SUMIF('Jnls Mthly'!$A:$A,'TB Mnthly'!$A6,'Jnls Mthly'!AV:AV)</f>
        <v/>
      </c>
      <c r="AW6" s="687">
        <f>SUMIF('Jnls Mthly'!$A:$A,'TB Mnthly'!$A6,'Jnls Mthly'!AW:AW)</f>
        <v/>
      </c>
      <c r="AX6" s="687">
        <f>SUMIF('Jnls Mthly'!$A:$A,'TB Mnthly'!$A6,'Jnls Mthly'!AX:AX)</f>
        <v/>
      </c>
      <c r="AY6" s="687">
        <f>SUMIF('Jnls Mthly'!$A:$A,'TB Mnthly'!$A6,'Jnls Mthly'!AY:AY)</f>
        <v/>
      </c>
      <c r="AZ6" s="687">
        <f>SUMIF('Jnls Mthly'!$A:$A,'TB Mnthly'!$A6,'Jnls Mthly'!AZ:AZ)</f>
        <v/>
      </c>
      <c r="BA6" s="687">
        <f>SUMIF('Jnls Mthly'!$A:$A,'TB Mnthly'!$A6,'Jnls Mthly'!BA:BA)</f>
        <v/>
      </c>
      <c r="BB6" s="687">
        <f>SUMIF('Jnls Mthly'!$A:$A,'TB Mnthly'!$A6,'Jnls Mthly'!BB:BB)</f>
        <v/>
      </c>
      <c r="BC6" s="687">
        <f>SUMIF('Jnls Mthly'!$A:$A,'TB Mnthly'!$A6,'Jnls Mthly'!BC:BC)</f>
        <v/>
      </c>
      <c r="BD6" s="687">
        <f>SUMIF('Jnls Mthly'!$A:$A,'TB Mnthly'!$A6,'Jnls Mthly'!BD:BD)</f>
        <v/>
      </c>
      <c r="BE6" s="687">
        <f>SUMIF('Jnls Mthly'!$A:$A,'TB Mnthly'!$A6,'Jnls Mthly'!BE:BE)</f>
        <v/>
      </c>
      <c r="BF6" s="687">
        <f>SUM(AS6:BE6)</f>
        <v/>
      </c>
      <c r="BH6" s="687">
        <f>SUMIF('Jnls Mthly'!$A:$A,'TB Mnthly'!$A6,'Jnls Mthly'!BH:BH)</f>
        <v/>
      </c>
      <c r="BI6" s="687">
        <f>SUMIF('Jnls Mthly'!$A:$A,'TB Mnthly'!$A6,'Jnls Mthly'!BI:BI)</f>
        <v/>
      </c>
      <c r="BJ6" s="687">
        <f>SUMIF('Jnls Mthly'!$A:$A,'TB Mnthly'!$A6,'Jnls Mthly'!BJ:BJ)</f>
        <v/>
      </c>
      <c r="BK6" s="687">
        <f>SUMIF('Jnls Mthly'!$A:$A,'TB Mnthly'!$A6,'Jnls Mthly'!BK:BK)</f>
        <v/>
      </c>
      <c r="BL6" s="687">
        <f>SUMIF('Jnls Mthly'!$A:$A,'TB Mnthly'!$A6,'Jnls Mthly'!BL:BL)</f>
        <v/>
      </c>
      <c r="BM6" s="687">
        <f>SUMIF('Jnls Mthly'!$A:$A,'TB Mnthly'!$A6,'Jnls Mthly'!BM:BM)</f>
        <v/>
      </c>
      <c r="BN6" s="687">
        <f>SUMIF('Jnls Mthly'!$A:$A,'TB Mnthly'!$A6,'Jnls Mthly'!BN:BN)</f>
        <v/>
      </c>
      <c r="BO6" s="687">
        <f>SUMIF('Jnls Mthly'!$A:$A,'TB Mnthly'!$A6,'Jnls Mthly'!BO:BO)</f>
        <v/>
      </c>
      <c r="BP6" s="687">
        <f>SUMIF('Jnls Mthly'!$A:$A,'TB Mnthly'!$A6,'Jnls Mthly'!BP:BP)</f>
        <v/>
      </c>
      <c r="BQ6" s="687">
        <f>SUMIF('Jnls Mthly'!$A:$A,'TB Mnthly'!$A6,'Jnls Mthly'!BQ:BQ)</f>
        <v/>
      </c>
      <c r="BR6" s="687">
        <f>SUMIF('Jnls Mthly'!$A:$A,'TB Mnthly'!$A6,'Jnls Mthly'!BR:BR)</f>
        <v/>
      </c>
      <c r="BS6" s="687">
        <f>SUMIF('Jnls Mthly'!$A:$A,'TB Mnthly'!$A6,'Jnls Mthly'!BS:BS)</f>
        <v/>
      </c>
      <c r="BT6" s="687">
        <f>SUM(BG6:BS6)</f>
        <v/>
      </c>
    </row>
    <row r="7">
      <c r="A7" s="497" t="inlineStr">
        <is>
          <t>Monthly wifi topups</t>
        </is>
      </c>
      <c r="C7" s="687">
        <f>SUMIF('Jnls Mthly'!$A:$A,'TB Mnthly'!$A7,'Jnls Mthly'!C:C)</f>
        <v/>
      </c>
      <c r="D7" s="687">
        <f>SUMIF('Jnls Mthly'!$A:$A,'TB Mnthly'!$A7,'Jnls Mthly'!D:D)</f>
        <v/>
      </c>
      <c r="E7" s="687">
        <f>SUMIF('Jnls Mthly'!$A:$A,'TB Mnthly'!$A7,'Jnls Mthly'!E:E)</f>
        <v/>
      </c>
      <c r="F7" s="687">
        <f>SUMIF('Jnls Mthly'!$A:$A,'TB Mnthly'!$A7,'Jnls Mthly'!F:F)</f>
        <v/>
      </c>
      <c r="G7" s="687">
        <f>SUMIF('Jnls Mthly'!$A:$A,'TB Mnthly'!$A7,'Jnls Mthly'!G:G)</f>
        <v/>
      </c>
      <c r="H7" s="687">
        <f>SUMIF('Jnls Mthly'!$A:$A,'TB Mnthly'!$A7,'Jnls Mthly'!H:H)</f>
        <v/>
      </c>
      <c r="I7" s="687">
        <f>SUMIF('Jnls Mthly'!$A:$A,'TB Mnthly'!$A7,'Jnls Mthly'!I:I)</f>
        <v/>
      </c>
      <c r="J7" s="687">
        <f>SUMIF('Jnls Mthly'!$A:$A,'TB Mnthly'!$A7,'Jnls Mthly'!J:J)</f>
        <v/>
      </c>
      <c r="K7" s="687">
        <f>SUMIF('Jnls Mthly'!$A:$A,'TB Mnthly'!$A7,'Jnls Mthly'!K:K)</f>
        <v/>
      </c>
      <c r="L7" s="687">
        <f>SUMIF('Jnls Mthly'!$A:$A,'TB Mnthly'!$A7,'Jnls Mthly'!L:L)</f>
        <v/>
      </c>
      <c r="M7" s="687">
        <f>SUMIF('Jnls Mthly'!$A:$A,'TB Mnthly'!$A7,'Jnls Mthly'!M:M)</f>
        <v/>
      </c>
      <c r="N7" s="687">
        <f>SUMIF('Jnls Mthly'!$A:$A,'TB Mnthly'!$A7,'Jnls Mthly'!N:N)</f>
        <v/>
      </c>
      <c r="O7" s="687">
        <f>SUMIF('Jnls Mthly'!$A:$A,'TB Mnthly'!$A7,'Jnls Mthly'!O:O)</f>
        <v/>
      </c>
      <c r="P7" s="687">
        <f>SUM(C7:O7)</f>
        <v/>
      </c>
      <c r="Q7" s="680" t="n"/>
      <c r="R7" s="687">
        <f>SUMIF('Jnls Mthly'!$A:$A,'TB Mnthly'!$A7,'Jnls Mthly'!R:R)</f>
        <v/>
      </c>
      <c r="S7" s="687">
        <f>SUMIF('Jnls Mthly'!$A:$A,'TB Mnthly'!$A7,'Jnls Mthly'!S:S)</f>
        <v/>
      </c>
      <c r="T7" s="687">
        <f>SUMIF('Jnls Mthly'!$A:$A,'TB Mnthly'!$A7,'Jnls Mthly'!T:T)</f>
        <v/>
      </c>
      <c r="U7" s="687">
        <f>SUMIF('Jnls Mthly'!$A:$A,'TB Mnthly'!$A7,'Jnls Mthly'!U:U)</f>
        <v/>
      </c>
      <c r="V7" s="687">
        <f>SUMIF('Jnls Mthly'!$A:$A,'TB Mnthly'!$A7,'Jnls Mthly'!V:V)</f>
        <v/>
      </c>
      <c r="W7" s="687">
        <f>SUMIF('Jnls Mthly'!$A:$A,'TB Mnthly'!$A7,'Jnls Mthly'!W:W)</f>
        <v/>
      </c>
      <c r="X7" s="687">
        <f>SUMIF('Jnls Mthly'!$A:$A,'TB Mnthly'!$A7,'Jnls Mthly'!X:X)</f>
        <v/>
      </c>
      <c r="Y7" s="687">
        <f>SUMIF('Jnls Mthly'!$A:$A,'TB Mnthly'!$A7,'Jnls Mthly'!Y:Y)</f>
        <v/>
      </c>
      <c r="Z7" s="687">
        <f>SUMIF('Jnls Mthly'!$A:$A,'TB Mnthly'!$A7,'Jnls Mthly'!Z:Z)</f>
        <v/>
      </c>
      <c r="AA7" s="687">
        <f>SUMIF('Jnls Mthly'!$A:$A,'TB Mnthly'!$A7,'Jnls Mthly'!AA:AA)</f>
        <v/>
      </c>
      <c r="AB7" s="687">
        <f>SUMIF('Jnls Mthly'!$A:$A,'TB Mnthly'!$A7,'Jnls Mthly'!AB:AB)</f>
        <v/>
      </c>
      <c r="AC7" s="687">
        <f>SUMIF('Jnls Mthly'!$A:$A,'TB Mnthly'!$A7,'Jnls Mthly'!AC:AC)</f>
        <v/>
      </c>
      <c r="AD7" s="687">
        <f>SUM(Q7:AC7)</f>
        <v/>
      </c>
      <c r="AE7" s="680" t="n"/>
      <c r="AF7" s="687">
        <f>SUMIF('Jnls Mthly'!$A:$A,'TB Mnthly'!$A7,'Jnls Mthly'!AF:AF)</f>
        <v/>
      </c>
      <c r="AG7" s="687">
        <f>SUMIF('Jnls Mthly'!$A:$A,'TB Mnthly'!$A7,'Jnls Mthly'!AG:AG)</f>
        <v/>
      </c>
      <c r="AH7" s="687">
        <f>SUMIF('Jnls Mthly'!$A:$A,'TB Mnthly'!$A7,'Jnls Mthly'!AH:AH)</f>
        <v/>
      </c>
      <c r="AI7" s="687">
        <f>SUMIF('Jnls Mthly'!$A:$A,'TB Mnthly'!$A7,'Jnls Mthly'!AI:AI)</f>
        <v/>
      </c>
      <c r="AJ7" s="687">
        <f>SUMIF('Jnls Mthly'!$A:$A,'TB Mnthly'!$A7,'Jnls Mthly'!AJ:AJ)</f>
        <v/>
      </c>
      <c r="AK7" s="687">
        <f>SUMIF('Jnls Mthly'!$A:$A,'TB Mnthly'!$A7,'Jnls Mthly'!AK:AK)</f>
        <v/>
      </c>
      <c r="AL7" s="687">
        <f>SUMIF('Jnls Mthly'!$A:$A,'TB Mnthly'!$A7,'Jnls Mthly'!AL:AL)</f>
        <v/>
      </c>
      <c r="AM7" s="687">
        <f>SUMIF('Jnls Mthly'!$A:$A,'TB Mnthly'!$A7,'Jnls Mthly'!AM:AM)</f>
        <v/>
      </c>
      <c r="AN7" s="687">
        <f>SUMIF('Jnls Mthly'!$A:$A,'TB Mnthly'!$A7,'Jnls Mthly'!AN:AN)</f>
        <v/>
      </c>
      <c r="AO7" s="687">
        <f>SUMIF('Jnls Mthly'!$A:$A,'TB Mnthly'!$A7,'Jnls Mthly'!AO:AO)</f>
        <v/>
      </c>
      <c r="AP7" s="687">
        <f>SUMIF('Jnls Mthly'!$A:$A,'TB Mnthly'!$A7,'Jnls Mthly'!AP:AP)</f>
        <v/>
      </c>
      <c r="AQ7" s="687">
        <f>SUMIF('Jnls Mthly'!$A:$A,'TB Mnthly'!$A7,'Jnls Mthly'!AQ:AQ)</f>
        <v/>
      </c>
      <c r="AR7" s="687">
        <f>SUM(AE7:AQ7)</f>
        <v/>
      </c>
      <c r="AS7" s="680" t="n"/>
      <c r="AT7" s="687">
        <f>SUMIF('Jnls Mthly'!$A:$A,'TB Mnthly'!$A7,'Jnls Mthly'!AT:AT)</f>
        <v/>
      </c>
      <c r="AU7" s="687">
        <f>SUMIF('Jnls Mthly'!$A:$A,'TB Mnthly'!$A7,'Jnls Mthly'!AU:AU)</f>
        <v/>
      </c>
      <c r="AV7" s="687">
        <f>SUMIF('Jnls Mthly'!$A:$A,'TB Mnthly'!$A7,'Jnls Mthly'!AV:AV)</f>
        <v/>
      </c>
      <c r="AW7" s="687">
        <f>SUMIF('Jnls Mthly'!$A:$A,'TB Mnthly'!$A7,'Jnls Mthly'!AW:AW)</f>
        <v/>
      </c>
      <c r="AX7" s="687">
        <f>SUMIF('Jnls Mthly'!$A:$A,'TB Mnthly'!$A7,'Jnls Mthly'!AX:AX)</f>
        <v/>
      </c>
      <c r="AY7" s="687">
        <f>SUMIF('Jnls Mthly'!$A:$A,'TB Mnthly'!$A7,'Jnls Mthly'!AY:AY)</f>
        <v/>
      </c>
      <c r="AZ7" s="687">
        <f>SUMIF('Jnls Mthly'!$A:$A,'TB Mnthly'!$A7,'Jnls Mthly'!AZ:AZ)</f>
        <v/>
      </c>
      <c r="BA7" s="687">
        <f>SUMIF('Jnls Mthly'!$A:$A,'TB Mnthly'!$A7,'Jnls Mthly'!BA:BA)</f>
        <v/>
      </c>
      <c r="BB7" s="687">
        <f>SUMIF('Jnls Mthly'!$A:$A,'TB Mnthly'!$A7,'Jnls Mthly'!BB:BB)</f>
        <v/>
      </c>
      <c r="BC7" s="687">
        <f>SUMIF('Jnls Mthly'!$A:$A,'TB Mnthly'!$A7,'Jnls Mthly'!BC:BC)</f>
        <v/>
      </c>
      <c r="BD7" s="687">
        <f>SUMIF('Jnls Mthly'!$A:$A,'TB Mnthly'!$A7,'Jnls Mthly'!BD:BD)</f>
        <v/>
      </c>
      <c r="BE7" s="687">
        <f>SUMIF('Jnls Mthly'!$A:$A,'TB Mnthly'!$A7,'Jnls Mthly'!BE:BE)</f>
        <v/>
      </c>
      <c r="BF7" s="687">
        <f>SUM(AS7:BE7)</f>
        <v/>
      </c>
      <c r="BH7" s="687">
        <f>SUMIF('Jnls Mthly'!$A:$A,'TB Mnthly'!$A7,'Jnls Mthly'!BH:BH)</f>
        <v/>
      </c>
      <c r="BI7" s="687">
        <f>SUMIF('Jnls Mthly'!$A:$A,'TB Mnthly'!$A7,'Jnls Mthly'!BI:BI)</f>
        <v/>
      </c>
      <c r="BJ7" s="687">
        <f>SUMIF('Jnls Mthly'!$A:$A,'TB Mnthly'!$A7,'Jnls Mthly'!BJ:BJ)</f>
        <v/>
      </c>
      <c r="BK7" s="687">
        <f>SUMIF('Jnls Mthly'!$A:$A,'TB Mnthly'!$A7,'Jnls Mthly'!BK:BK)</f>
        <v/>
      </c>
      <c r="BL7" s="687">
        <f>SUMIF('Jnls Mthly'!$A:$A,'TB Mnthly'!$A7,'Jnls Mthly'!BL:BL)</f>
        <v/>
      </c>
      <c r="BM7" s="687">
        <f>SUMIF('Jnls Mthly'!$A:$A,'TB Mnthly'!$A7,'Jnls Mthly'!BM:BM)</f>
        <v/>
      </c>
      <c r="BN7" s="687">
        <f>SUMIF('Jnls Mthly'!$A:$A,'TB Mnthly'!$A7,'Jnls Mthly'!BN:BN)</f>
        <v/>
      </c>
      <c r="BO7" s="687">
        <f>SUMIF('Jnls Mthly'!$A:$A,'TB Mnthly'!$A7,'Jnls Mthly'!BO:BO)</f>
        <v/>
      </c>
      <c r="BP7" s="687">
        <f>SUMIF('Jnls Mthly'!$A:$A,'TB Mnthly'!$A7,'Jnls Mthly'!BP:BP)</f>
        <v/>
      </c>
      <c r="BQ7" s="687">
        <f>SUMIF('Jnls Mthly'!$A:$A,'TB Mnthly'!$A7,'Jnls Mthly'!BQ:BQ)</f>
        <v/>
      </c>
      <c r="BR7" s="687">
        <f>SUMIF('Jnls Mthly'!$A:$A,'TB Mnthly'!$A7,'Jnls Mthly'!BR:BR)</f>
        <v/>
      </c>
      <c r="BS7" s="687">
        <f>SUMIF('Jnls Mthly'!$A:$A,'TB Mnthly'!$A7,'Jnls Mthly'!BS:BS)</f>
        <v/>
      </c>
      <c r="BT7" s="687">
        <f>SUM(BG7:BS7)</f>
        <v/>
      </c>
    </row>
    <row r="8">
      <c r="A8" s="497" t="inlineStr">
        <is>
          <t>Enterprise 1 (Up to 10 Employees)</t>
        </is>
      </c>
      <c r="C8" s="687">
        <f>SUMIF('Jnls Mthly'!$A:$A,'TB Mnthly'!$A8,'Jnls Mthly'!C:C)</f>
        <v/>
      </c>
      <c r="D8" s="687">
        <f>SUMIF('Jnls Mthly'!$A:$A,'TB Mnthly'!$A8,'Jnls Mthly'!D:D)</f>
        <v/>
      </c>
      <c r="E8" s="687">
        <f>SUMIF('Jnls Mthly'!$A:$A,'TB Mnthly'!$A8,'Jnls Mthly'!E:E)</f>
        <v/>
      </c>
      <c r="F8" s="687">
        <f>SUMIF('Jnls Mthly'!$A:$A,'TB Mnthly'!$A8,'Jnls Mthly'!F:F)</f>
        <v/>
      </c>
      <c r="G8" s="687">
        <f>SUMIF('Jnls Mthly'!$A:$A,'TB Mnthly'!$A8,'Jnls Mthly'!G:G)</f>
        <v/>
      </c>
      <c r="H8" s="687">
        <f>SUMIF('Jnls Mthly'!$A:$A,'TB Mnthly'!$A8,'Jnls Mthly'!H:H)</f>
        <v/>
      </c>
      <c r="I8" s="687">
        <f>SUMIF('Jnls Mthly'!$A:$A,'TB Mnthly'!$A8,'Jnls Mthly'!I:I)</f>
        <v/>
      </c>
      <c r="J8" s="687">
        <f>SUMIF('Jnls Mthly'!$A:$A,'TB Mnthly'!$A8,'Jnls Mthly'!J:J)</f>
        <v/>
      </c>
      <c r="K8" s="687">
        <f>SUMIF('Jnls Mthly'!$A:$A,'TB Mnthly'!$A8,'Jnls Mthly'!K:K)</f>
        <v/>
      </c>
      <c r="L8" s="687">
        <f>SUMIF('Jnls Mthly'!$A:$A,'TB Mnthly'!$A8,'Jnls Mthly'!L:L)</f>
        <v/>
      </c>
      <c r="M8" s="687">
        <f>SUMIF('Jnls Mthly'!$A:$A,'TB Mnthly'!$A8,'Jnls Mthly'!M:M)</f>
        <v/>
      </c>
      <c r="N8" s="687">
        <f>SUMIF('Jnls Mthly'!$A:$A,'TB Mnthly'!$A8,'Jnls Mthly'!N:N)</f>
        <v/>
      </c>
      <c r="O8" s="687">
        <f>SUMIF('Jnls Mthly'!$A:$A,'TB Mnthly'!$A8,'Jnls Mthly'!O:O)</f>
        <v/>
      </c>
      <c r="P8" s="687">
        <f>SUM(C8:O8)</f>
        <v/>
      </c>
      <c r="Q8" s="680" t="n"/>
      <c r="R8" s="687">
        <f>SUMIF('Jnls Mthly'!$A:$A,'TB Mnthly'!$A8,'Jnls Mthly'!R:R)</f>
        <v/>
      </c>
      <c r="S8" s="687">
        <f>SUMIF('Jnls Mthly'!$A:$A,'TB Mnthly'!$A8,'Jnls Mthly'!S:S)</f>
        <v/>
      </c>
      <c r="T8" s="687">
        <f>SUMIF('Jnls Mthly'!$A:$A,'TB Mnthly'!$A8,'Jnls Mthly'!T:T)</f>
        <v/>
      </c>
      <c r="U8" s="687">
        <f>SUMIF('Jnls Mthly'!$A:$A,'TB Mnthly'!$A8,'Jnls Mthly'!U:U)</f>
        <v/>
      </c>
      <c r="V8" s="687">
        <f>SUMIF('Jnls Mthly'!$A:$A,'TB Mnthly'!$A8,'Jnls Mthly'!V:V)</f>
        <v/>
      </c>
      <c r="W8" s="687">
        <f>SUMIF('Jnls Mthly'!$A:$A,'TB Mnthly'!$A8,'Jnls Mthly'!W:W)</f>
        <v/>
      </c>
      <c r="X8" s="687">
        <f>SUMIF('Jnls Mthly'!$A:$A,'TB Mnthly'!$A8,'Jnls Mthly'!X:X)</f>
        <v/>
      </c>
      <c r="Y8" s="687">
        <f>SUMIF('Jnls Mthly'!$A:$A,'TB Mnthly'!$A8,'Jnls Mthly'!Y:Y)</f>
        <v/>
      </c>
      <c r="Z8" s="687">
        <f>SUMIF('Jnls Mthly'!$A:$A,'TB Mnthly'!$A8,'Jnls Mthly'!Z:Z)</f>
        <v/>
      </c>
      <c r="AA8" s="687">
        <f>SUMIF('Jnls Mthly'!$A:$A,'TB Mnthly'!$A8,'Jnls Mthly'!AA:AA)</f>
        <v/>
      </c>
      <c r="AB8" s="687">
        <f>SUMIF('Jnls Mthly'!$A:$A,'TB Mnthly'!$A8,'Jnls Mthly'!AB:AB)</f>
        <v/>
      </c>
      <c r="AC8" s="687">
        <f>SUMIF('Jnls Mthly'!$A:$A,'TB Mnthly'!$A8,'Jnls Mthly'!AC:AC)</f>
        <v/>
      </c>
      <c r="AD8" s="687">
        <f>SUM(Q8:AC8)</f>
        <v/>
      </c>
      <c r="AE8" s="680" t="n"/>
      <c r="AF8" s="687">
        <f>SUMIF('Jnls Mthly'!$A:$A,'TB Mnthly'!$A8,'Jnls Mthly'!AF:AF)</f>
        <v/>
      </c>
      <c r="AG8" s="687">
        <f>SUMIF('Jnls Mthly'!$A:$A,'TB Mnthly'!$A8,'Jnls Mthly'!AG:AG)</f>
        <v/>
      </c>
      <c r="AH8" s="687">
        <f>SUMIF('Jnls Mthly'!$A:$A,'TB Mnthly'!$A8,'Jnls Mthly'!AH:AH)</f>
        <v/>
      </c>
      <c r="AI8" s="687">
        <f>SUMIF('Jnls Mthly'!$A:$A,'TB Mnthly'!$A8,'Jnls Mthly'!AI:AI)</f>
        <v/>
      </c>
      <c r="AJ8" s="687">
        <f>SUMIF('Jnls Mthly'!$A:$A,'TB Mnthly'!$A8,'Jnls Mthly'!AJ:AJ)</f>
        <v/>
      </c>
      <c r="AK8" s="687">
        <f>SUMIF('Jnls Mthly'!$A:$A,'TB Mnthly'!$A8,'Jnls Mthly'!AK:AK)</f>
        <v/>
      </c>
      <c r="AL8" s="687">
        <f>SUMIF('Jnls Mthly'!$A:$A,'TB Mnthly'!$A8,'Jnls Mthly'!AL:AL)</f>
        <v/>
      </c>
      <c r="AM8" s="687">
        <f>SUMIF('Jnls Mthly'!$A:$A,'TB Mnthly'!$A8,'Jnls Mthly'!AM:AM)</f>
        <v/>
      </c>
      <c r="AN8" s="687">
        <f>SUMIF('Jnls Mthly'!$A:$A,'TB Mnthly'!$A8,'Jnls Mthly'!AN:AN)</f>
        <v/>
      </c>
      <c r="AO8" s="687">
        <f>SUMIF('Jnls Mthly'!$A:$A,'TB Mnthly'!$A8,'Jnls Mthly'!AO:AO)</f>
        <v/>
      </c>
      <c r="AP8" s="687">
        <f>SUMIF('Jnls Mthly'!$A:$A,'TB Mnthly'!$A8,'Jnls Mthly'!AP:AP)</f>
        <v/>
      </c>
      <c r="AQ8" s="687">
        <f>SUMIF('Jnls Mthly'!$A:$A,'TB Mnthly'!$A8,'Jnls Mthly'!AQ:AQ)</f>
        <v/>
      </c>
      <c r="AR8" s="687">
        <f>SUM(AE8:AQ8)</f>
        <v/>
      </c>
      <c r="AS8" s="680" t="n"/>
      <c r="AT8" s="687">
        <f>SUMIF('Jnls Mthly'!$A:$A,'TB Mnthly'!$A8,'Jnls Mthly'!AT:AT)</f>
        <v/>
      </c>
      <c r="AU8" s="687">
        <f>SUMIF('Jnls Mthly'!$A:$A,'TB Mnthly'!$A8,'Jnls Mthly'!AU:AU)</f>
        <v/>
      </c>
      <c r="AV8" s="687">
        <f>SUMIF('Jnls Mthly'!$A:$A,'TB Mnthly'!$A8,'Jnls Mthly'!AV:AV)</f>
        <v/>
      </c>
      <c r="AW8" s="687">
        <f>SUMIF('Jnls Mthly'!$A:$A,'TB Mnthly'!$A8,'Jnls Mthly'!AW:AW)</f>
        <v/>
      </c>
      <c r="AX8" s="687">
        <f>SUMIF('Jnls Mthly'!$A:$A,'TB Mnthly'!$A8,'Jnls Mthly'!AX:AX)</f>
        <v/>
      </c>
      <c r="AY8" s="687">
        <f>SUMIF('Jnls Mthly'!$A:$A,'TB Mnthly'!$A8,'Jnls Mthly'!AY:AY)</f>
        <v/>
      </c>
      <c r="AZ8" s="687">
        <f>SUMIF('Jnls Mthly'!$A:$A,'TB Mnthly'!$A8,'Jnls Mthly'!AZ:AZ)</f>
        <v/>
      </c>
      <c r="BA8" s="687">
        <f>SUMIF('Jnls Mthly'!$A:$A,'TB Mnthly'!$A8,'Jnls Mthly'!BA:BA)</f>
        <v/>
      </c>
      <c r="BB8" s="687">
        <f>SUMIF('Jnls Mthly'!$A:$A,'TB Mnthly'!$A8,'Jnls Mthly'!BB:BB)</f>
        <v/>
      </c>
      <c r="BC8" s="687">
        <f>SUMIF('Jnls Mthly'!$A:$A,'TB Mnthly'!$A8,'Jnls Mthly'!BC:BC)</f>
        <v/>
      </c>
      <c r="BD8" s="687">
        <f>SUMIF('Jnls Mthly'!$A:$A,'TB Mnthly'!$A8,'Jnls Mthly'!BD:BD)</f>
        <v/>
      </c>
      <c r="BE8" s="687">
        <f>SUMIF('Jnls Mthly'!$A:$A,'TB Mnthly'!$A8,'Jnls Mthly'!BE:BE)</f>
        <v/>
      </c>
      <c r="BF8" s="687">
        <f>SUM(AS8:BE8)</f>
        <v/>
      </c>
      <c r="BH8" s="687">
        <f>SUMIF('Jnls Mthly'!$A:$A,'TB Mnthly'!$A8,'Jnls Mthly'!BH:BH)</f>
        <v/>
      </c>
      <c r="BI8" s="687">
        <f>SUMIF('Jnls Mthly'!$A:$A,'TB Mnthly'!$A8,'Jnls Mthly'!BI:BI)</f>
        <v/>
      </c>
      <c r="BJ8" s="687">
        <f>SUMIF('Jnls Mthly'!$A:$A,'TB Mnthly'!$A8,'Jnls Mthly'!BJ:BJ)</f>
        <v/>
      </c>
      <c r="BK8" s="687">
        <f>SUMIF('Jnls Mthly'!$A:$A,'TB Mnthly'!$A8,'Jnls Mthly'!BK:BK)</f>
        <v/>
      </c>
      <c r="BL8" s="687">
        <f>SUMIF('Jnls Mthly'!$A:$A,'TB Mnthly'!$A8,'Jnls Mthly'!BL:BL)</f>
        <v/>
      </c>
      <c r="BM8" s="687">
        <f>SUMIF('Jnls Mthly'!$A:$A,'TB Mnthly'!$A8,'Jnls Mthly'!BM:BM)</f>
        <v/>
      </c>
      <c r="BN8" s="687">
        <f>SUMIF('Jnls Mthly'!$A:$A,'TB Mnthly'!$A8,'Jnls Mthly'!BN:BN)</f>
        <v/>
      </c>
      <c r="BO8" s="687">
        <f>SUMIF('Jnls Mthly'!$A:$A,'TB Mnthly'!$A8,'Jnls Mthly'!BO:BO)</f>
        <v/>
      </c>
      <c r="BP8" s="687">
        <f>SUMIF('Jnls Mthly'!$A:$A,'TB Mnthly'!$A8,'Jnls Mthly'!BP:BP)</f>
        <v/>
      </c>
      <c r="BQ8" s="687">
        <f>SUMIF('Jnls Mthly'!$A:$A,'TB Mnthly'!$A8,'Jnls Mthly'!BQ:BQ)</f>
        <v/>
      </c>
      <c r="BR8" s="687">
        <f>SUMIF('Jnls Mthly'!$A:$A,'TB Mnthly'!$A8,'Jnls Mthly'!BR:BR)</f>
        <v/>
      </c>
      <c r="BS8" s="687">
        <f>SUMIF('Jnls Mthly'!$A:$A,'TB Mnthly'!$A8,'Jnls Mthly'!BS:BS)</f>
        <v/>
      </c>
      <c r="BT8" s="687">
        <f>SUM(BG8:BS8)</f>
        <v/>
      </c>
    </row>
    <row r="9">
      <c r="A9" s="497" t="inlineStr">
        <is>
          <t>Enterprise 2 (Up to 25 Employees)</t>
        </is>
      </c>
      <c r="C9" s="687">
        <f>SUMIF('Jnls Mthly'!$A:$A,'TB Mnthly'!$A9,'Jnls Mthly'!C:C)</f>
        <v/>
      </c>
      <c r="D9" s="687">
        <f>SUMIF('Jnls Mthly'!$A:$A,'TB Mnthly'!$A9,'Jnls Mthly'!D:D)</f>
        <v/>
      </c>
      <c r="E9" s="687">
        <f>SUMIF('Jnls Mthly'!$A:$A,'TB Mnthly'!$A9,'Jnls Mthly'!E:E)</f>
        <v/>
      </c>
      <c r="F9" s="687">
        <f>SUMIF('Jnls Mthly'!$A:$A,'TB Mnthly'!$A9,'Jnls Mthly'!F:F)</f>
        <v/>
      </c>
      <c r="G9" s="687">
        <f>SUMIF('Jnls Mthly'!$A:$A,'TB Mnthly'!$A9,'Jnls Mthly'!G:G)</f>
        <v/>
      </c>
      <c r="H9" s="687">
        <f>SUMIF('Jnls Mthly'!$A:$A,'TB Mnthly'!$A9,'Jnls Mthly'!H:H)</f>
        <v/>
      </c>
      <c r="I9" s="687">
        <f>SUMIF('Jnls Mthly'!$A:$A,'TB Mnthly'!$A9,'Jnls Mthly'!I:I)</f>
        <v/>
      </c>
      <c r="J9" s="687">
        <f>SUMIF('Jnls Mthly'!$A:$A,'TB Mnthly'!$A9,'Jnls Mthly'!J:J)</f>
        <v/>
      </c>
      <c r="K9" s="687">
        <f>SUMIF('Jnls Mthly'!$A:$A,'TB Mnthly'!$A9,'Jnls Mthly'!K:K)</f>
        <v/>
      </c>
      <c r="L9" s="687">
        <f>SUMIF('Jnls Mthly'!$A:$A,'TB Mnthly'!$A9,'Jnls Mthly'!L:L)</f>
        <v/>
      </c>
      <c r="M9" s="687">
        <f>SUMIF('Jnls Mthly'!$A:$A,'TB Mnthly'!$A9,'Jnls Mthly'!M:M)</f>
        <v/>
      </c>
      <c r="N9" s="687">
        <f>SUMIF('Jnls Mthly'!$A:$A,'TB Mnthly'!$A9,'Jnls Mthly'!N:N)</f>
        <v/>
      </c>
      <c r="O9" s="687">
        <f>SUMIF('Jnls Mthly'!$A:$A,'TB Mnthly'!$A9,'Jnls Mthly'!O:O)</f>
        <v/>
      </c>
      <c r="P9" s="687">
        <f>SUM(C9:O9)</f>
        <v/>
      </c>
      <c r="Q9" s="680" t="n"/>
      <c r="R9" s="687">
        <f>SUMIF('Jnls Mthly'!$A:$A,'TB Mnthly'!$A9,'Jnls Mthly'!R:R)</f>
        <v/>
      </c>
      <c r="S9" s="687">
        <f>SUMIF('Jnls Mthly'!$A:$A,'TB Mnthly'!$A9,'Jnls Mthly'!S:S)</f>
        <v/>
      </c>
      <c r="T9" s="687">
        <f>SUMIF('Jnls Mthly'!$A:$A,'TB Mnthly'!$A9,'Jnls Mthly'!T:T)</f>
        <v/>
      </c>
      <c r="U9" s="687">
        <f>SUMIF('Jnls Mthly'!$A:$A,'TB Mnthly'!$A9,'Jnls Mthly'!U:U)</f>
        <v/>
      </c>
      <c r="V9" s="687">
        <f>SUMIF('Jnls Mthly'!$A:$A,'TB Mnthly'!$A9,'Jnls Mthly'!V:V)</f>
        <v/>
      </c>
      <c r="W9" s="687">
        <f>SUMIF('Jnls Mthly'!$A:$A,'TB Mnthly'!$A9,'Jnls Mthly'!W:W)</f>
        <v/>
      </c>
      <c r="X9" s="687">
        <f>SUMIF('Jnls Mthly'!$A:$A,'TB Mnthly'!$A9,'Jnls Mthly'!X:X)</f>
        <v/>
      </c>
      <c r="Y9" s="687">
        <f>SUMIF('Jnls Mthly'!$A:$A,'TB Mnthly'!$A9,'Jnls Mthly'!Y:Y)</f>
        <v/>
      </c>
      <c r="Z9" s="687">
        <f>SUMIF('Jnls Mthly'!$A:$A,'TB Mnthly'!$A9,'Jnls Mthly'!Z:Z)</f>
        <v/>
      </c>
      <c r="AA9" s="687">
        <f>SUMIF('Jnls Mthly'!$A:$A,'TB Mnthly'!$A9,'Jnls Mthly'!AA:AA)</f>
        <v/>
      </c>
      <c r="AB9" s="687">
        <f>SUMIF('Jnls Mthly'!$A:$A,'TB Mnthly'!$A9,'Jnls Mthly'!AB:AB)</f>
        <v/>
      </c>
      <c r="AC9" s="687">
        <f>SUMIF('Jnls Mthly'!$A:$A,'TB Mnthly'!$A9,'Jnls Mthly'!AC:AC)</f>
        <v/>
      </c>
      <c r="AD9" s="687">
        <f>SUM(Q9:AC9)</f>
        <v/>
      </c>
      <c r="AE9" s="680" t="n"/>
      <c r="AF9" s="687">
        <f>SUMIF('Jnls Mthly'!$A:$A,'TB Mnthly'!$A9,'Jnls Mthly'!AF:AF)</f>
        <v/>
      </c>
      <c r="AG9" s="687">
        <f>SUMIF('Jnls Mthly'!$A:$A,'TB Mnthly'!$A9,'Jnls Mthly'!AG:AG)</f>
        <v/>
      </c>
      <c r="AH9" s="687">
        <f>SUMIF('Jnls Mthly'!$A:$A,'TB Mnthly'!$A9,'Jnls Mthly'!AH:AH)</f>
        <v/>
      </c>
      <c r="AI9" s="687">
        <f>SUMIF('Jnls Mthly'!$A:$A,'TB Mnthly'!$A9,'Jnls Mthly'!AI:AI)</f>
        <v/>
      </c>
      <c r="AJ9" s="687">
        <f>SUMIF('Jnls Mthly'!$A:$A,'TB Mnthly'!$A9,'Jnls Mthly'!AJ:AJ)</f>
        <v/>
      </c>
      <c r="AK9" s="687">
        <f>SUMIF('Jnls Mthly'!$A:$A,'TB Mnthly'!$A9,'Jnls Mthly'!AK:AK)</f>
        <v/>
      </c>
      <c r="AL9" s="687">
        <f>SUMIF('Jnls Mthly'!$A:$A,'TB Mnthly'!$A9,'Jnls Mthly'!AL:AL)</f>
        <v/>
      </c>
      <c r="AM9" s="687">
        <f>SUMIF('Jnls Mthly'!$A:$A,'TB Mnthly'!$A9,'Jnls Mthly'!AM:AM)</f>
        <v/>
      </c>
      <c r="AN9" s="687">
        <f>SUMIF('Jnls Mthly'!$A:$A,'TB Mnthly'!$A9,'Jnls Mthly'!AN:AN)</f>
        <v/>
      </c>
      <c r="AO9" s="687">
        <f>SUMIF('Jnls Mthly'!$A:$A,'TB Mnthly'!$A9,'Jnls Mthly'!AO:AO)</f>
        <v/>
      </c>
      <c r="AP9" s="687">
        <f>SUMIF('Jnls Mthly'!$A:$A,'TB Mnthly'!$A9,'Jnls Mthly'!AP:AP)</f>
        <v/>
      </c>
      <c r="AQ9" s="687">
        <f>SUMIF('Jnls Mthly'!$A:$A,'TB Mnthly'!$A9,'Jnls Mthly'!AQ:AQ)</f>
        <v/>
      </c>
      <c r="AR9" s="687">
        <f>SUM(AE9:AQ9)</f>
        <v/>
      </c>
      <c r="AS9" s="680" t="n"/>
      <c r="AT9" s="687">
        <f>SUMIF('Jnls Mthly'!$A:$A,'TB Mnthly'!$A9,'Jnls Mthly'!AT:AT)</f>
        <v/>
      </c>
      <c r="AU9" s="687">
        <f>SUMIF('Jnls Mthly'!$A:$A,'TB Mnthly'!$A9,'Jnls Mthly'!AU:AU)</f>
        <v/>
      </c>
      <c r="AV9" s="687">
        <f>SUMIF('Jnls Mthly'!$A:$A,'TB Mnthly'!$A9,'Jnls Mthly'!AV:AV)</f>
        <v/>
      </c>
      <c r="AW9" s="687">
        <f>SUMIF('Jnls Mthly'!$A:$A,'TB Mnthly'!$A9,'Jnls Mthly'!AW:AW)</f>
        <v/>
      </c>
      <c r="AX9" s="687">
        <f>SUMIF('Jnls Mthly'!$A:$A,'TB Mnthly'!$A9,'Jnls Mthly'!AX:AX)</f>
        <v/>
      </c>
      <c r="AY9" s="687">
        <f>SUMIF('Jnls Mthly'!$A:$A,'TB Mnthly'!$A9,'Jnls Mthly'!AY:AY)</f>
        <v/>
      </c>
      <c r="AZ9" s="687">
        <f>SUMIF('Jnls Mthly'!$A:$A,'TB Mnthly'!$A9,'Jnls Mthly'!AZ:AZ)</f>
        <v/>
      </c>
      <c r="BA9" s="687">
        <f>SUMIF('Jnls Mthly'!$A:$A,'TB Mnthly'!$A9,'Jnls Mthly'!BA:BA)</f>
        <v/>
      </c>
      <c r="BB9" s="687">
        <f>SUMIF('Jnls Mthly'!$A:$A,'TB Mnthly'!$A9,'Jnls Mthly'!BB:BB)</f>
        <v/>
      </c>
      <c r="BC9" s="687">
        <f>SUMIF('Jnls Mthly'!$A:$A,'TB Mnthly'!$A9,'Jnls Mthly'!BC:BC)</f>
        <v/>
      </c>
      <c r="BD9" s="687">
        <f>SUMIF('Jnls Mthly'!$A:$A,'TB Mnthly'!$A9,'Jnls Mthly'!BD:BD)</f>
        <v/>
      </c>
      <c r="BE9" s="687">
        <f>SUMIF('Jnls Mthly'!$A:$A,'TB Mnthly'!$A9,'Jnls Mthly'!BE:BE)</f>
        <v/>
      </c>
      <c r="BF9" s="687">
        <f>SUM(AS9:BE9)</f>
        <v/>
      </c>
      <c r="BH9" s="687">
        <f>SUMIF('Jnls Mthly'!$A:$A,'TB Mnthly'!$A9,'Jnls Mthly'!BH:BH)</f>
        <v/>
      </c>
      <c r="BI9" s="687">
        <f>SUMIF('Jnls Mthly'!$A:$A,'TB Mnthly'!$A9,'Jnls Mthly'!BI:BI)</f>
        <v/>
      </c>
      <c r="BJ9" s="687">
        <f>SUMIF('Jnls Mthly'!$A:$A,'TB Mnthly'!$A9,'Jnls Mthly'!BJ:BJ)</f>
        <v/>
      </c>
      <c r="BK9" s="687">
        <f>SUMIF('Jnls Mthly'!$A:$A,'TB Mnthly'!$A9,'Jnls Mthly'!BK:BK)</f>
        <v/>
      </c>
      <c r="BL9" s="687">
        <f>SUMIF('Jnls Mthly'!$A:$A,'TB Mnthly'!$A9,'Jnls Mthly'!BL:BL)</f>
        <v/>
      </c>
      <c r="BM9" s="687">
        <f>SUMIF('Jnls Mthly'!$A:$A,'TB Mnthly'!$A9,'Jnls Mthly'!BM:BM)</f>
        <v/>
      </c>
      <c r="BN9" s="687">
        <f>SUMIF('Jnls Mthly'!$A:$A,'TB Mnthly'!$A9,'Jnls Mthly'!BN:BN)</f>
        <v/>
      </c>
      <c r="BO9" s="687">
        <f>SUMIF('Jnls Mthly'!$A:$A,'TB Mnthly'!$A9,'Jnls Mthly'!BO:BO)</f>
        <v/>
      </c>
      <c r="BP9" s="687">
        <f>SUMIF('Jnls Mthly'!$A:$A,'TB Mnthly'!$A9,'Jnls Mthly'!BP:BP)</f>
        <v/>
      </c>
      <c r="BQ9" s="687">
        <f>SUMIF('Jnls Mthly'!$A:$A,'TB Mnthly'!$A9,'Jnls Mthly'!BQ:BQ)</f>
        <v/>
      </c>
      <c r="BR9" s="687">
        <f>SUMIF('Jnls Mthly'!$A:$A,'TB Mnthly'!$A9,'Jnls Mthly'!BR:BR)</f>
        <v/>
      </c>
      <c r="BS9" s="687">
        <f>SUMIF('Jnls Mthly'!$A:$A,'TB Mnthly'!$A9,'Jnls Mthly'!BS:BS)</f>
        <v/>
      </c>
      <c r="BT9" s="687">
        <f>SUM(BG9:BS9)</f>
        <v/>
      </c>
    </row>
    <row r="10">
      <c r="A10" s="497" t="inlineStr">
        <is>
          <t>Enterprise 3  (Up to 50 Employees)</t>
        </is>
      </c>
      <c r="C10" s="687">
        <f>SUMIF('Jnls Mthly'!$A:$A,'TB Mnthly'!$A10,'Jnls Mthly'!C:C)</f>
        <v/>
      </c>
      <c r="D10" s="687">
        <f>SUMIF('Jnls Mthly'!$A:$A,'TB Mnthly'!$A10,'Jnls Mthly'!D:D)</f>
        <v/>
      </c>
      <c r="E10" s="687">
        <f>SUMIF('Jnls Mthly'!$A:$A,'TB Mnthly'!$A10,'Jnls Mthly'!E:E)</f>
        <v/>
      </c>
      <c r="F10" s="687">
        <f>SUMIF('Jnls Mthly'!$A:$A,'TB Mnthly'!$A10,'Jnls Mthly'!F:F)</f>
        <v/>
      </c>
      <c r="G10" s="687">
        <f>SUMIF('Jnls Mthly'!$A:$A,'TB Mnthly'!$A10,'Jnls Mthly'!G:G)</f>
        <v/>
      </c>
      <c r="H10" s="687">
        <f>SUMIF('Jnls Mthly'!$A:$A,'TB Mnthly'!$A10,'Jnls Mthly'!H:H)</f>
        <v/>
      </c>
      <c r="I10" s="687">
        <f>SUMIF('Jnls Mthly'!$A:$A,'TB Mnthly'!$A10,'Jnls Mthly'!I:I)</f>
        <v/>
      </c>
      <c r="J10" s="687">
        <f>SUMIF('Jnls Mthly'!$A:$A,'TB Mnthly'!$A10,'Jnls Mthly'!J:J)</f>
        <v/>
      </c>
      <c r="K10" s="687">
        <f>SUMIF('Jnls Mthly'!$A:$A,'TB Mnthly'!$A10,'Jnls Mthly'!K:K)</f>
        <v/>
      </c>
      <c r="L10" s="687">
        <f>SUMIF('Jnls Mthly'!$A:$A,'TB Mnthly'!$A10,'Jnls Mthly'!L:L)</f>
        <v/>
      </c>
      <c r="M10" s="687">
        <f>SUMIF('Jnls Mthly'!$A:$A,'TB Mnthly'!$A10,'Jnls Mthly'!M:M)</f>
        <v/>
      </c>
      <c r="N10" s="687">
        <f>SUMIF('Jnls Mthly'!$A:$A,'TB Mnthly'!$A10,'Jnls Mthly'!N:N)</f>
        <v/>
      </c>
      <c r="O10" s="687">
        <f>SUMIF('Jnls Mthly'!$A:$A,'TB Mnthly'!$A10,'Jnls Mthly'!O:O)</f>
        <v/>
      </c>
      <c r="P10" s="687">
        <f>SUM(C10:O10)</f>
        <v/>
      </c>
      <c r="Q10" s="680" t="n"/>
      <c r="R10" s="687">
        <f>SUMIF('Jnls Mthly'!$A:$A,'TB Mnthly'!$A10,'Jnls Mthly'!R:R)</f>
        <v/>
      </c>
      <c r="S10" s="687">
        <f>SUMIF('Jnls Mthly'!$A:$A,'TB Mnthly'!$A10,'Jnls Mthly'!S:S)</f>
        <v/>
      </c>
      <c r="T10" s="687">
        <f>SUMIF('Jnls Mthly'!$A:$A,'TB Mnthly'!$A10,'Jnls Mthly'!T:T)</f>
        <v/>
      </c>
      <c r="U10" s="687">
        <f>SUMIF('Jnls Mthly'!$A:$A,'TB Mnthly'!$A10,'Jnls Mthly'!U:U)</f>
        <v/>
      </c>
      <c r="V10" s="687">
        <f>SUMIF('Jnls Mthly'!$A:$A,'TB Mnthly'!$A10,'Jnls Mthly'!V:V)</f>
        <v/>
      </c>
      <c r="W10" s="687">
        <f>SUMIF('Jnls Mthly'!$A:$A,'TB Mnthly'!$A10,'Jnls Mthly'!W:W)</f>
        <v/>
      </c>
      <c r="X10" s="687">
        <f>SUMIF('Jnls Mthly'!$A:$A,'TB Mnthly'!$A10,'Jnls Mthly'!X:X)</f>
        <v/>
      </c>
      <c r="Y10" s="687">
        <f>SUMIF('Jnls Mthly'!$A:$A,'TB Mnthly'!$A10,'Jnls Mthly'!Y:Y)</f>
        <v/>
      </c>
      <c r="Z10" s="687">
        <f>SUMIF('Jnls Mthly'!$A:$A,'TB Mnthly'!$A10,'Jnls Mthly'!Z:Z)</f>
        <v/>
      </c>
      <c r="AA10" s="687">
        <f>SUMIF('Jnls Mthly'!$A:$A,'TB Mnthly'!$A10,'Jnls Mthly'!AA:AA)</f>
        <v/>
      </c>
      <c r="AB10" s="687">
        <f>SUMIF('Jnls Mthly'!$A:$A,'TB Mnthly'!$A10,'Jnls Mthly'!AB:AB)</f>
        <v/>
      </c>
      <c r="AC10" s="687">
        <f>SUMIF('Jnls Mthly'!$A:$A,'TB Mnthly'!$A10,'Jnls Mthly'!AC:AC)</f>
        <v/>
      </c>
      <c r="AD10" s="687">
        <f>SUM(Q10:AC10)</f>
        <v/>
      </c>
      <c r="AE10" s="680" t="n"/>
      <c r="AF10" s="687">
        <f>SUMIF('Jnls Mthly'!$A:$A,'TB Mnthly'!$A10,'Jnls Mthly'!AF:AF)</f>
        <v/>
      </c>
      <c r="AG10" s="687">
        <f>SUMIF('Jnls Mthly'!$A:$A,'TB Mnthly'!$A10,'Jnls Mthly'!AG:AG)</f>
        <v/>
      </c>
      <c r="AH10" s="687">
        <f>SUMIF('Jnls Mthly'!$A:$A,'TB Mnthly'!$A10,'Jnls Mthly'!AH:AH)</f>
        <v/>
      </c>
      <c r="AI10" s="687">
        <f>SUMIF('Jnls Mthly'!$A:$A,'TB Mnthly'!$A10,'Jnls Mthly'!AI:AI)</f>
        <v/>
      </c>
      <c r="AJ10" s="687">
        <f>SUMIF('Jnls Mthly'!$A:$A,'TB Mnthly'!$A10,'Jnls Mthly'!AJ:AJ)</f>
        <v/>
      </c>
      <c r="AK10" s="687">
        <f>SUMIF('Jnls Mthly'!$A:$A,'TB Mnthly'!$A10,'Jnls Mthly'!AK:AK)</f>
        <v/>
      </c>
      <c r="AL10" s="687">
        <f>SUMIF('Jnls Mthly'!$A:$A,'TB Mnthly'!$A10,'Jnls Mthly'!AL:AL)</f>
        <v/>
      </c>
      <c r="AM10" s="687">
        <f>SUMIF('Jnls Mthly'!$A:$A,'TB Mnthly'!$A10,'Jnls Mthly'!AM:AM)</f>
        <v/>
      </c>
      <c r="AN10" s="687">
        <f>SUMIF('Jnls Mthly'!$A:$A,'TB Mnthly'!$A10,'Jnls Mthly'!AN:AN)</f>
        <v/>
      </c>
      <c r="AO10" s="687">
        <f>SUMIF('Jnls Mthly'!$A:$A,'TB Mnthly'!$A10,'Jnls Mthly'!AO:AO)</f>
        <v/>
      </c>
      <c r="AP10" s="687">
        <f>SUMIF('Jnls Mthly'!$A:$A,'TB Mnthly'!$A10,'Jnls Mthly'!AP:AP)</f>
        <v/>
      </c>
      <c r="AQ10" s="687">
        <f>SUMIF('Jnls Mthly'!$A:$A,'TB Mnthly'!$A10,'Jnls Mthly'!AQ:AQ)</f>
        <v/>
      </c>
      <c r="AR10" s="687">
        <f>SUM(AE10:AQ10)</f>
        <v/>
      </c>
      <c r="AS10" s="680" t="n"/>
      <c r="AT10" s="687">
        <f>SUMIF('Jnls Mthly'!$A:$A,'TB Mnthly'!$A10,'Jnls Mthly'!AT:AT)</f>
        <v/>
      </c>
      <c r="AU10" s="687">
        <f>SUMIF('Jnls Mthly'!$A:$A,'TB Mnthly'!$A10,'Jnls Mthly'!AU:AU)</f>
        <v/>
      </c>
      <c r="AV10" s="687">
        <f>SUMIF('Jnls Mthly'!$A:$A,'TB Mnthly'!$A10,'Jnls Mthly'!AV:AV)</f>
        <v/>
      </c>
      <c r="AW10" s="687">
        <f>SUMIF('Jnls Mthly'!$A:$A,'TB Mnthly'!$A10,'Jnls Mthly'!AW:AW)</f>
        <v/>
      </c>
      <c r="AX10" s="687">
        <f>SUMIF('Jnls Mthly'!$A:$A,'TB Mnthly'!$A10,'Jnls Mthly'!AX:AX)</f>
        <v/>
      </c>
      <c r="AY10" s="687">
        <f>SUMIF('Jnls Mthly'!$A:$A,'TB Mnthly'!$A10,'Jnls Mthly'!AY:AY)</f>
        <v/>
      </c>
      <c r="AZ10" s="687">
        <f>SUMIF('Jnls Mthly'!$A:$A,'TB Mnthly'!$A10,'Jnls Mthly'!AZ:AZ)</f>
        <v/>
      </c>
      <c r="BA10" s="687">
        <f>SUMIF('Jnls Mthly'!$A:$A,'TB Mnthly'!$A10,'Jnls Mthly'!BA:BA)</f>
        <v/>
      </c>
      <c r="BB10" s="687">
        <f>SUMIF('Jnls Mthly'!$A:$A,'TB Mnthly'!$A10,'Jnls Mthly'!BB:BB)</f>
        <v/>
      </c>
      <c r="BC10" s="687">
        <f>SUMIF('Jnls Mthly'!$A:$A,'TB Mnthly'!$A10,'Jnls Mthly'!BC:BC)</f>
        <v/>
      </c>
      <c r="BD10" s="687">
        <f>SUMIF('Jnls Mthly'!$A:$A,'TB Mnthly'!$A10,'Jnls Mthly'!BD:BD)</f>
        <v/>
      </c>
      <c r="BE10" s="687">
        <f>SUMIF('Jnls Mthly'!$A:$A,'TB Mnthly'!$A10,'Jnls Mthly'!BE:BE)</f>
        <v/>
      </c>
      <c r="BF10" s="687">
        <f>SUM(AS10:BE10)</f>
        <v/>
      </c>
      <c r="BH10" s="687">
        <f>SUMIF('Jnls Mthly'!$A:$A,'TB Mnthly'!$A10,'Jnls Mthly'!BH:BH)</f>
        <v/>
      </c>
      <c r="BI10" s="687">
        <f>SUMIF('Jnls Mthly'!$A:$A,'TB Mnthly'!$A10,'Jnls Mthly'!BI:BI)</f>
        <v/>
      </c>
      <c r="BJ10" s="687">
        <f>SUMIF('Jnls Mthly'!$A:$A,'TB Mnthly'!$A10,'Jnls Mthly'!BJ:BJ)</f>
        <v/>
      </c>
      <c r="BK10" s="687">
        <f>SUMIF('Jnls Mthly'!$A:$A,'TB Mnthly'!$A10,'Jnls Mthly'!BK:BK)</f>
        <v/>
      </c>
      <c r="BL10" s="687">
        <f>SUMIF('Jnls Mthly'!$A:$A,'TB Mnthly'!$A10,'Jnls Mthly'!BL:BL)</f>
        <v/>
      </c>
      <c r="BM10" s="687">
        <f>SUMIF('Jnls Mthly'!$A:$A,'TB Mnthly'!$A10,'Jnls Mthly'!BM:BM)</f>
        <v/>
      </c>
      <c r="BN10" s="687">
        <f>SUMIF('Jnls Mthly'!$A:$A,'TB Mnthly'!$A10,'Jnls Mthly'!BN:BN)</f>
        <v/>
      </c>
      <c r="BO10" s="687">
        <f>SUMIF('Jnls Mthly'!$A:$A,'TB Mnthly'!$A10,'Jnls Mthly'!BO:BO)</f>
        <v/>
      </c>
      <c r="BP10" s="687">
        <f>SUMIF('Jnls Mthly'!$A:$A,'TB Mnthly'!$A10,'Jnls Mthly'!BP:BP)</f>
        <v/>
      </c>
      <c r="BQ10" s="687">
        <f>SUMIF('Jnls Mthly'!$A:$A,'TB Mnthly'!$A10,'Jnls Mthly'!BQ:BQ)</f>
        <v/>
      </c>
      <c r="BR10" s="687">
        <f>SUMIF('Jnls Mthly'!$A:$A,'TB Mnthly'!$A10,'Jnls Mthly'!BR:BR)</f>
        <v/>
      </c>
      <c r="BS10" s="687">
        <f>SUMIF('Jnls Mthly'!$A:$A,'TB Mnthly'!$A10,'Jnls Mthly'!BS:BS)</f>
        <v/>
      </c>
      <c r="BT10" s="687">
        <f>SUM(BG10:BS10)</f>
        <v/>
      </c>
    </row>
    <row r="11">
      <c r="A11" s="497" t="inlineStr">
        <is>
          <t>Enterprise 4  (Up to 99 Employees)</t>
        </is>
      </c>
      <c r="C11" s="687">
        <f>SUMIF('Jnls Mthly'!$A:$A,'TB Mnthly'!$A11,'Jnls Mthly'!C:C)</f>
        <v/>
      </c>
      <c r="D11" s="687">
        <f>SUMIF('Jnls Mthly'!$A:$A,'TB Mnthly'!$A11,'Jnls Mthly'!D:D)</f>
        <v/>
      </c>
      <c r="E11" s="687">
        <f>SUMIF('Jnls Mthly'!$A:$A,'TB Mnthly'!$A11,'Jnls Mthly'!E:E)</f>
        <v/>
      </c>
      <c r="F11" s="687">
        <f>SUMIF('Jnls Mthly'!$A:$A,'TB Mnthly'!$A11,'Jnls Mthly'!F:F)</f>
        <v/>
      </c>
      <c r="G11" s="687">
        <f>SUMIF('Jnls Mthly'!$A:$A,'TB Mnthly'!$A11,'Jnls Mthly'!G:G)</f>
        <v/>
      </c>
      <c r="H11" s="687">
        <f>SUMIF('Jnls Mthly'!$A:$A,'TB Mnthly'!$A11,'Jnls Mthly'!H:H)</f>
        <v/>
      </c>
      <c r="I11" s="687">
        <f>SUMIF('Jnls Mthly'!$A:$A,'TB Mnthly'!$A11,'Jnls Mthly'!I:I)</f>
        <v/>
      </c>
      <c r="J11" s="687">
        <f>SUMIF('Jnls Mthly'!$A:$A,'TB Mnthly'!$A11,'Jnls Mthly'!J:J)</f>
        <v/>
      </c>
      <c r="K11" s="687">
        <f>SUMIF('Jnls Mthly'!$A:$A,'TB Mnthly'!$A11,'Jnls Mthly'!K:K)</f>
        <v/>
      </c>
      <c r="L11" s="687">
        <f>SUMIF('Jnls Mthly'!$A:$A,'TB Mnthly'!$A11,'Jnls Mthly'!L:L)</f>
        <v/>
      </c>
      <c r="M11" s="687">
        <f>SUMIF('Jnls Mthly'!$A:$A,'TB Mnthly'!$A11,'Jnls Mthly'!M:M)</f>
        <v/>
      </c>
      <c r="N11" s="687">
        <f>SUMIF('Jnls Mthly'!$A:$A,'TB Mnthly'!$A11,'Jnls Mthly'!N:N)</f>
        <v/>
      </c>
      <c r="O11" s="687">
        <f>SUMIF('Jnls Mthly'!$A:$A,'TB Mnthly'!$A11,'Jnls Mthly'!O:O)</f>
        <v/>
      </c>
      <c r="P11" s="687">
        <f>SUM(C11:O11)</f>
        <v/>
      </c>
      <c r="Q11" s="680" t="n"/>
      <c r="R11" s="687">
        <f>SUMIF('Jnls Mthly'!$A:$A,'TB Mnthly'!$A11,'Jnls Mthly'!R:R)</f>
        <v/>
      </c>
      <c r="S11" s="687">
        <f>SUMIF('Jnls Mthly'!$A:$A,'TB Mnthly'!$A11,'Jnls Mthly'!S:S)</f>
        <v/>
      </c>
      <c r="T11" s="687">
        <f>SUMIF('Jnls Mthly'!$A:$A,'TB Mnthly'!$A11,'Jnls Mthly'!T:T)</f>
        <v/>
      </c>
      <c r="U11" s="687">
        <f>SUMIF('Jnls Mthly'!$A:$A,'TB Mnthly'!$A11,'Jnls Mthly'!U:U)</f>
        <v/>
      </c>
      <c r="V11" s="687">
        <f>SUMIF('Jnls Mthly'!$A:$A,'TB Mnthly'!$A11,'Jnls Mthly'!V:V)</f>
        <v/>
      </c>
      <c r="W11" s="687">
        <f>SUMIF('Jnls Mthly'!$A:$A,'TB Mnthly'!$A11,'Jnls Mthly'!W:W)</f>
        <v/>
      </c>
      <c r="X11" s="687">
        <f>SUMIF('Jnls Mthly'!$A:$A,'TB Mnthly'!$A11,'Jnls Mthly'!X:X)</f>
        <v/>
      </c>
      <c r="Y11" s="687">
        <f>SUMIF('Jnls Mthly'!$A:$A,'TB Mnthly'!$A11,'Jnls Mthly'!Y:Y)</f>
        <v/>
      </c>
      <c r="Z11" s="687">
        <f>SUMIF('Jnls Mthly'!$A:$A,'TB Mnthly'!$A11,'Jnls Mthly'!Z:Z)</f>
        <v/>
      </c>
      <c r="AA11" s="687">
        <f>SUMIF('Jnls Mthly'!$A:$A,'TB Mnthly'!$A11,'Jnls Mthly'!AA:AA)</f>
        <v/>
      </c>
      <c r="AB11" s="687">
        <f>SUMIF('Jnls Mthly'!$A:$A,'TB Mnthly'!$A11,'Jnls Mthly'!AB:AB)</f>
        <v/>
      </c>
      <c r="AC11" s="687">
        <f>SUMIF('Jnls Mthly'!$A:$A,'TB Mnthly'!$A11,'Jnls Mthly'!AC:AC)</f>
        <v/>
      </c>
      <c r="AD11" s="687">
        <f>SUM(Q11:AC11)</f>
        <v/>
      </c>
      <c r="AE11" s="680" t="n"/>
      <c r="AF11" s="687">
        <f>SUMIF('Jnls Mthly'!$A:$A,'TB Mnthly'!$A11,'Jnls Mthly'!AF:AF)</f>
        <v/>
      </c>
      <c r="AG11" s="687">
        <f>SUMIF('Jnls Mthly'!$A:$A,'TB Mnthly'!$A11,'Jnls Mthly'!AG:AG)</f>
        <v/>
      </c>
      <c r="AH11" s="687">
        <f>SUMIF('Jnls Mthly'!$A:$A,'TB Mnthly'!$A11,'Jnls Mthly'!AH:AH)</f>
        <v/>
      </c>
      <c r="AI11" s="687">
        <f>SUMIF('Jnls Mthly'!$A:$A,'TB Mnthly'!$A11,'Jnls Mthly'!AI:AI)</f>
        <v/>
      </c>
      <c r="AJ11" s="687">
        <f>SUMIF('Jnls Mthly'!$A:$A,'TB Mnthly'!$A11,'Jnls Mthly'!AJ:AJ)</f>
        <v/>
      </c>
      <c r="AK11" s="687">
        <f>SUMIF('Jnls Mthly'!$A:$A,'TB Mnthly'!$A11,'Jnls Mthly'!AK:AK)</f>
        <v/>
      </c>
      <c r="AL11" s="687">
        <f>SUMIF('Jnls Mthly'!$A:$A,'TB Mnthly'!$A11,'Jnls Mthly'!AL:AL)</f>
        <v/>
      </c>
      <c r="AM11" s="687">
        <f>SUMIF('Jnls Mthly'!$A:$A,'TB Mnthly'!$A11,'Jnls Mthly'!AM:AM)</f>
        <v/>
      </c>
      <c r="AN11" s="687">
        <f>SUMIF('Jnls Mthly'!$A:$A,'TB Mnthly'!$A11,'Jnls Mthly'!AN:AN)</f>
        <v/>
      </c>
      <c r="AO11" s="687">
        <f>SUMIF('Jnls Mthly'!$A:$A,'TB Mnthly'!$A11,'Jnls Mthly'!AO:AO)</f>
        <v/>
      </c>
      <c r="AP11" s="687">
        <f>SUMIF('Jnls Mthly'!$A:$A,'TB Mnthly'!$A11,'Jnls Mthly'!AP:AP)</f>
        <v/>
      </c>
      <c r="AQ11" s="687">
        <f>SUMIF('Jnls Mthly'!$A:$A,'TB Mnthly'!$A11,'Jnls Mthly'!AQ:AQ)</f>
        <v/>
      </c>
      <c r="AR11" s="687">
        <f>SUM(AE11:AQ11)</f>
        <v/>
      </c>
      <c r="AS11" s="680" t="n"/>
      <c r="AT11" s="687">
        <f>SUMIF('Jnls Mthly'!$A:$A,'TB Mnthly'!$A11,'Jnls Mthly'!AT:AT)</f>
        <v/>
      </c>
      <c r="AU11" s="687">
        <f>SUMIF('Jnls Mthly'!$A:$A,'TB Mnthly'!$A11,'Jnls Mthly'!AU:AU)</f>
        <v/>
      </c>
      <c r="AV11" s="687">
        <f>SUMIF('Jnls Mthly'!$A:$A,'TB Mnthly'!$A11,'Jnls Mthly'!AV:AV)</f>
        <v/>
      </c>
      <c r="AW11" s="687">
        <f>SUMIF('Jnls Mthly'!$A:$A,'TB Mnthly'!$A11,'Jnls Mthly'!AW:AW)</f>
        <v/>
      </c>
      <c r="AX11" s="687">
        <f>SUMIF('Jnls Mthly'!$A:$A,'TB Mnthly'!$A11,'Jnls Mthly'!AX:AX)</f>
        <v/>
      </c>
      <c r="AY11" s="687">
        <f>SUMIF('Jnls Mthly'!$A:$A,'TB Mnthly'!$A11,'Jnls Mthly'!AY:AY)</f>
        <v/>
      </c>
      <c r="AZ11" s="687">
        <f>SUMIF('Jnls Mthly'!$A:$A,'TB Mnthly'!$A11,'Jnls Mthly'!AZ:AZ)</f>
        <v/>
      </c>
      <c r="BA11" s="687">
        <f>SUMIF('Jnls Mthly'!$A:$A,'TB Mnthly'!$A11,'Jnls Mthly'!BA:BA)</f>
        <v/>
      </c>
      <c r="BB11" s="687">
        <f>SUMIF('Jnls Mthly'!$A:$A,'TB Mnthly'!$A11,'Jnls Mthly'!BB:BB)</f>
        <v/>
      </c>
      <c r="BC11" s="687">
        <f>SUMIF('Jnls Mthly'!$A:$A,'TB Mnthly'!$A11,'Jnls Mthly'!BC:BC)</f>
        <v/>
      </c>
      <c r="BD11" s="687">
        <f>SUMIF('Jnls Mthly'!$A:$A,'TB Mnthly'!$A11,'Jnls Mthly'!BD:BD)</f>
        <v/>
      </c>
      <c r="BE11" s="687">
        <f>SUMIF('Jnls Mthly'!$A:$A,'TB Mnthly'!$A11,'Jnls Mthly'!BE:BE)</f>
        <v/>
      </c>
      <c r="BF11" s="687">
        <f>SUM(AS11:BE11)</f>
        <v/>
      </c>
      <c r="BH11" s="687">
        <f>SUMIF('Jnls Mthly'!$A:$A,'TB Mnthly'!$A11,'Jnls Mthly'!BH:BH)</f>
        <v/>
      </c>
      <c r="BI11" s="687">
        <f>SUMIF('Jnls Mthly'!$A:$A,'TB Mnthly'!$A11,'Jnls Mthly'!BI:BI)</f>
        <v/>
      </c>
      <c r="BJ11" s="687">
        <f>SUMIF('Jnls Mthly'!$A:$A,'TB Mnthly'!$A11,'Jnls Mthly'!BJ:BJ)</f>
        <v/>
      </c>
      <c r="BK11" s="687">
        <f>SUMIF('Jnls Mthly'!$A:$A,'TB Mnthly'!$A11,'Jnls Mthly'!BK:BK)</f>
        <v/>
      </c>
      <c r="BL11" s="687">
        <f>SUMIF('Jnls Mthly'!$A:$A,'TB Mnthly'!$A11,'Jnls Mthly'!BL:BL)</f>
        <v/>
      </c>
      <c r="BM11" s="687">
        <f>SUMIF('Jnls Mthly'!$A:$A,'TB Mnthly'!$A11,'Jnls Mthly'!BM:BM)</f>
        <v/>
      </c>
      <c r="BN11" s="687">
        <f>SUMIF('Jnls Mthly'!$A:$A,'TB Mnthly'!$A11,'Jnls Mthly'!BN:BN)</f>
        <v/>
      </c>
      <c r="BO11" s="687">
        <f>SUMIF('Jnls Mthly'!$A:$A,'TB Mnthly'!$A11,'Jnls Mthly'!BO:BO)</f>
        <v/>
      </c>
      <c r="BP11" s="687">
        <f>SUMIF('Jnls Mthly'!$A:$A,'TB Mnthly'!$A11,'Jnls Mthly'!BP:BP)</f>
        <v/>
      </c>
      <c r="BQ11" s="687">
        <f>SUMIF('Jnls Mthly'!$A:$A,'TB Mnthly'!$A11,'Jnls Mthly'!BQ:BQ)</f>
        <v/>
      </c>
      <c r="BR11" s="687">
        <f>SUMIF('Jnls Mthly'!$A:$A,'TB Mnthly'!$A11,'Jnls Mthly'!BR:BR)</f>
        <v/>
      </c>
      <c r="BS11" s="687">
        <f>SUMIF('Jnls Mthly'!$A:$A,'TB Mnthly'!$A11,'Jnls Mthly'!BS:BS)</f>
        <v/>
      </c>
      <c r="BT11" s="687">
        <f>SUM(BG11:BS11)</f>
        <v/>
      </c>
    </row>
    <row r="12">
      <c r="A12" s="497">
        <f>Calc!A12</f>
        <v/>
      </c>
      <c r="C12" s="687">
        <f>SUMIF('Jnls Mthly'!$A:$A,'TB Mnthly'!$A12,'Jnls Mthly'!C:C)</f>
        <v/>
      </c>
      <c r="D12" s="687">
        <f>SUMIF('Jnls Mthly'!$A:$A,'TB Mnthly'!$A12,'Jnls Mthly'!D:D)</f>
        <v/>
      </c>
      <c r="E12" s="687">
        <f>SUMIF('Jnls Mthly'!$A:$A,'TB Mnthly'!$A12,'Jnls Mthly'!E:E)</f>
        <v/>
      </c>
      <c r="F12" s="687">
        <f>SUMIF('Jnls Mthly'!$A:$A,'TB Mnthly'!$A12,'Jnls Mthly'!F:F)</f>
        <v/>
      </c>
      <c r="G12" s="687">
        <f>SUMIF('Jnls Mthly'!$A:$A,'TB Mnthly'!$A12,'Jnls Mthly'!G:G)</f>
        <v/>
      </c>
      <c r="H12" s="687">
        <f>SUMIF('Jnls Mthly'!$A:$A,'TB Mnthly'!$A12,'Jnls Mthly'!H:H)</f>
        <v/>
      </c>
      <c r="I12" s="687">
        <f>SUMIF('Jnls Mthly'!$A:$A,'TB Mnthly'!$A12,'Jnls Mthly'!I:I)</f>
        <v/>
      </c>
      <c r="J12" s="687">
        <f>SUMIF('Jnls Mthly'!$A:$A,'TB Mnthly'!$A12,'Jnls Mthly'!J:J)</f>
        <v/>
      </c>
      <c r="K12" s="687">
        <f>SUMIF('Jnls Mthly'!$A:$A,'TB Mnthly'!$A12,'Jnls Mthly'!K:K)</f>
        <v/>
      </c>
      <c r="L12" s="687">
        <f>SUMIF('Jnls Mthly'!$A:$A,'TB Mnthly'!$A12,'Jnls Mthly'!L:L)</f>
        <v/>
      </c>
      <c r="M12" s="687">
        <f>SUMIF('Jnls Mthly'!$A:$A,'TB Mnthly'!$A12,'Jnls Mthly'!M:M)</f>
        <v/>
      </c>
      <c r="N12" s="687">
        <f>SUMIF('Jnls Mthly'!$A:$A,'TB Mnthly'!$A12,'Jnls Mthly'!N:N)</f>
        <v/>
      </c>
      <c r="O12" s="687">
        <f>SUMIF('Jnls Mthly'!$A:$A,'TB Mnthly'!$A12,'Jnls Mthly'!O:O)</f>
        <v/>
      </c>
      <c r="P12" s="687">
        <f>SUM(C12:O12)</f>
        <v/>
      </c>
      <c r="Q12" s="680" t="n"/>
      <c r="R12" s="687">
        <f>SUMIF('Jnls Mthly'!$A:$A,'TB Mnthly'!$A12,'Jnls Mthly'!R:R)</f>
        <v/>
      </c>
      <c r="S12" s="687">
        <f>SUMIF('Jnls Mthly'!$A:$A,'TB Mnthly'!$A12,'Jnls Mthly'!S:S)</f>
        <v/>
      </c>
      <c r="T12" s="687">
        <f>SUMIF('Jnls Mthly'!$A:$A,'TB Mnthly'!$A12,'Jnls Mthly'!T:T)</f>
        <v/>
      </c>
      <c r="U12" s="687">
        <f>SUMIF('Jnls Mthly'!$A:$A,'TB Mnthly'!$A12,'Jnls Mthly'!U:U)</f>
        <v/>
      </c>
      <c r="V12" s="687">
        <f>SUMIF('Jnls Mthly'!$A:$A,'TB Mnthly'!$A12,'Jnls Mthly'!V:V)</f>
        <v/>
      </c>
      <c r="W12" s="687">
        <f>SUMIF('Jnls Mthly'!$A:$A,'TB Mnthly'!$A12,'Jnls Mthly'!W:W)</f>
        <v/>
      </c>
      <c r="X12" s="687">
        <f>SUMIF('Jnls Mthly'!$A:$A,'TB Mnthly'!$A12,'Jnls Mthly'!X:X)</f>
        <v/>
      </c>
      <c r="Y12" s="687">
        <f>SUMIF('Jnls Mthly'!$A:$A,'TB Mnthly'!$A12,'Jnls Mthly'!Y:Y)</f>
        <v/>
      </c>
      <c r="Z12" s="687">
        <f>SUMIF('Jnls Mthly'!$A:$A,'TB Mnthly'!$A12,'Jnls Mthly'!Z:Z)</f>
        <v/>
      </c>
      <c r="AA12" s="687">
        <f>SUMIF('Jnls Mthly'!$A:$A,'TB Mnthly'!$A12,'Jnls Mthly'!AA:AA)</f>
        <v/>
      </c>
      <c r="AB12" s="687">
        <f>SUMIF('Jnls Mthly'!$A:$A,'TB Mnthly'!$A12,'Jnls Mthly'!AB:AB)</f>
        <v/>
      </c>
      <c r="AC12" s="687">
        <f>SUMIF('Jnls Mthly'!$A:$A,'TB Mnthly'!$A12,'Jnls Mthly'!AC:AC)</f>
        <v/>
      </c>
      <c r="AD12" s="687">
        <f>SUM(Q12:AC12)</f>
        <v/>
      </c>
      <c r="AE12" s="680" t="n"/>
      <c r="AF12" s="687">
        <f>SUMIF('Jnls Mthly'!$A:$A,'TB Mnthly'!$A12,'Jnls Mthly'!AF:AF)</f>
        <v/>
      </c>
      <c r="AG12" s="687">
        <f>SUMIF('Jnls Mthly'!$A:$A,'TB Mnthly'!$A12,'Jnls Mthly'!AG:AG)</f>
        <v/>
      </c>
      <c r="AH12" s="687">
        <f>SUMIF('Jnls Mthly'!$A:$A,'TB Mnthly'!$A12,'Jnls Mthly'!AH:AH)</f>
        <v/>
      </c>
      <c r="AI12" s="687">
        <f>SUMIF('Jnls Mthly'!$A:$A,'TB Mnthly'!$A12,'Jnls Mthly'!AI:AI)</f>
        <v/>
      </c>
      <c r="AJ12" s="687">
        <f>SUMIF('Jnls Mthly'!$A:$A,'TB Mnthly'!$A12,'Jnls Mthly'!AJ:AJ)</f>
        <v/>
      </c>
      <c r="AK12" s="687">
        <f>SUMIF('Jnls Mthly'!$A:$A,'TB Mnthly'!$A12,'Jnls Mthly'!AK:AK)</f>
        <v/>
      </c>
      <c r="AL12" s="687">
        <f>SUMIF('Jnls Mthly'!$A:$A,'TB Mnthly'!$A12,'Jnls Mthly'!AL:AL)</f>
        <v/>
      </c>
      <c r="AM12" s="687">
        <f>SUMIF('Jnls Mthly'!$A:$A,'TB Mnthly'!$A12,'Jnls Mthly'!AM:AM)</f>
        <v/>
      </c>
      <c r="AN12" s="687">
        <f>SUMIF('Jnls Mthly'!$A:$A,'TB Mnthly'!$A12,'Jnls Mthly'!AN:AN)</f>
        <v/>
      </c>
      <c r="AO12" s="687">
        <f>SUMIF('Jnls Mthly'!$A:$A,'TB Mnthly'!$A12,'Jnls Mthly'!AO:AO)</f>
        <v/>
      </c>
      <c r="AP12" s="687">
        <f>SUMIF('Jnls Mthly'!$A:$A,'TB Mnthly'!$A12,'Jnls Mthly'!AP:AP)</f>
        <v/>
      </c>
      <c r="AQ12" s="687">
        <f>SUMIF('Jnls Mthly'!$A:$A,'TB Mnthly'!$A12,'Jnls Mthly'!AQ:AQ)</f>
        <v/>
      </c>
      <c r="AR12" s="687">
        <f>SUM(AE12:AQ12)</f>
        <v/>
      </c>
      <c r="AS12" s="680" t="n"/>
      <c r="AT12" s="687">
        <f>SUMIF('Jnls Mthly'!$A:$A,'TB Mnthly'!$A12,'Jnls Mthly'!AT:AT)</f>
        <v/>
      </c>
      <c r="AU12" s="687">
        <f>SUMIF('Jnls Mthly'!$A:$A,'TB Mnthly'!$A12,'Jnls Mthly'!AU:AU)</f>
        <v/>
      </c>
      <c r="AV12" s="687">
        <f>SUMIF('Jnls Mthly'!$A:$A,'TB Mnthly'!$A12,'Jnls Mthly'!AV:AV)</f>
        <v/>
      </c>
      <c r="AW12" s="687">
        <f>SUMIF('Jnls Mthly'!$A:$A,'TB Mnthly'!$A12,'Jnls Mthly'!AW:AW)</f>
        <v/>
      </c>
      <c r="AX12" s="687">
        <f>SUMIF('Jnls Mthly'!$A:$A,'TB Mnthly'!$A12,'Jnls Mthly'!AX:AX)</f>
        <v/>
      </c>
      <c r="AY12" s="687">
        <f>SUMIF('Jnls Mthly'!$A:$A,'TB Mnthly'!$A12,'Jnls Mthly'!AY:AY)</f>
        <v/>
      </c>
      <c r="AZ12" s="687">
        <f>SUMIF('Jnls Mthly'!$A:$A,'TB Mnthly'!$A12,'Jnls Mthly'!AZ:AZ)</f>
        <v/>
      </c>
      <c r="BA12" s="687">
        <f>SUMIF('Jnls Mthly'!$A:$A,'TB Mnthly'!$A12,'Jnls Mthly'!BA:BA)</f>
        <v/>
      </c>
      <c r="BB12" s="687">
        <f>SUMIF('Jnls Mthly'!$A:$A,'TB Mnthly'!$A12,'Jnls Mthly'!BB:BB)</f>
        <v/>
      </c>
      <c r="BC12" s="687">
        <f>SUMIF('Jnls Mthly'!$A:$A,'TB Mnthly'!$A12,'Jnls Mthly'!BC:BC)</f>
        <v/>
      </c>
      <c r="BD12" s="687">
        <f>SUMIF('Jnls Mthly'!$A:$A,'TB Mnthly'!$A12,'Jnls Mthly'!BD:BD)</f>
        <v/>
      </c>
      <c r="BE12" s="687">
        <f>SUMIF('Jnls Mthly'!$A:$A,'TB Mnthly'!$A12,'Jnls Mthly'!BE:BE)</f>
        <v/>
      </c>
      <c r="BF12" s="687">
        <f>SUM(AS12:BE12)</f>
        <v/>
      </c>
      <c r="BH12" s="687">
        <f>SUMIF('Jnls Mthly'!$A:$A,'TB Mnthly'!$A12,'Jnls Mthly'!BH:BH)</f>
        <v/>
      </c>
      <c r="BI12" s="687">
        <f>SUMIF('Jnls Mthly'!$A:$A,'TB Mnthly'!$A12,'Jnls Mthly'!BI:BI)</f>
        <v/>
      </c>
      <c r="BJ12" s="687">
        <f>SUMIF('Jnls Mthly'!$A:$A,'TB Mnthly'!$A12,'Jnls Mthly'!BJ:BJ)</f>
        <v/>
      </c>
      <c r="BK12" s="687">
        <f>SUMIF('Jnls Mthly'!$A:$A,'TB Mnthly'!$A12,'Jnls Mthly'!BK:BK)</f>
        <v/>
      </c>
      <c r="BL12" s="687">
        <f>SUMIF('Jnls Mthly'!$A:$A,'TB Mnthly'!$A12,'Jnls Mthly'!BL:BL)</f>
        <v/>
      </c>
      <c r="BM12" s="687">
        <f>SUMIF('Jnls Mthly'!$A:$A,'TB Mnthly'!$A12,'Jnls Mthly'!BM:BM)</f>
        <v/>
      </c>
      <c r="BN12" s="687">
        <f>SUMIF('Jnls Mthly'!$A:$A,'TB Mnthly'!$A12,'Jnls Mthly'!BN:BN)</f>
        <v/>
      </c>
      <c r="BO12" s="687">
        <f>SUMIF('Jnls Mthly'!$A:$A,'TB Mnthly'!$A12,'Jnls Mthly'!BO:BO)</f>
        <v/>
      </c>
      <c r="BP12" s="687">
        <f>SUMIF('Jnls Mthly'!$A:$A,'TB Mnthly'!$A12,'Jnls Mthly'!BP:BP)</f>
        <v/>
      </c>
      <c r="BQ12" s="687">
        <f>SUMIF('Jnls Mthly'!$A:$A,'TB Mnthly'!$A12,'Jnls Mthly'!BQ:BQ)</f>
        <v/>
      </c>
      <c r="BR12" s="687">
        <f>SUMIF('Jnls Mthly'!$A:$A,'TB Mnthly'!$A12,'Jnls Mthly'!BR:BR)</f>
        <v/>
      </c>
      <c r="BS12" s="687">
        <f>SUMIF('Jnls Mthly'!$A:$A,'TB Mnthly'!$A12,'Jnls Mthly'!BS:BS)</f>
        <v/>
      </c>
      <c r="BT12" s="687">
        <f>SUM(BG12:BS12)</f>
        <v/>
      </c>
    </row>
    <row r="13">
      <c r="A13" s="497">
        <f>Calc!A13</f>
        <v/>
      </c>
      <c r="C13" s="687">
        <f>SUMIF('Jnls Mthly'!$A:$A,'TB Mnthly'!$A13,'Jnls Mthly'!C:C)</f>
        <v/>
      </c>
      <c r="D13" s="687">
        <f>SUMIF('Jnls Mthly'!$A:$A,'TB Mnthly'!$A13,'Jnls Mthly'!D:D)</f>
        <v/>
      </c>
      <c r="E13" s="687">
        <f>SUMIF('Jnls Mthly'!$A:$A,'TB Mnthly'!$A13,'Jnls Mthly'!E:E)</f>
        <v/>
      </c>
      <c r="F13" s="687">
        <f>SUMIF('Jnls Mthly'!$A:$A,'TB Mnthly'!$A13,'Jnls Mthly'!F:F)</f>
        <v/>
      </c>
      <c r="G13" s="687">
        <f>SUMIF('Jnls Mthly'!$A:$A,'TB Mnthly'!$A13,'Jnls Mthly'!G:G)</f>
        <v/>
      </c>
      <c r="H13" s="687">
        <f>SUMIF('Jnls Mthly'!$A:$A,'TB Mnthly'!$A13,'Jnls Mthly'!H:H)</f>
        <v/>
      </c>
      <c r="I13" s="687">
        <f>SUMIF('Jnls Mthly'!$A:$A,'TB Mnthly'!$A13,'Jnls Mthly'!I:I)</f>
        <v/>
      </c>
      <c r="J13" s="687">
        <f>SUMIF('Jnls Mthly'!$A:$A,'TB Mnthly'!$A13,'Jnls Mthly'!J:J)</f>
        <v/>
      </c>
      <c r="K13" s="687">
        <f>SUMIF('Jnls Mthly'!$A:$A,'TB Mnthly'!$A13,'Jnls Mthly'!K:K)</f>
        <v/>
      </c>
      <c r="L13" s="687">
        <f>SUMIF('Jnls Mthly'!$A:$A,'TB Mnthly'!$A13,'Jnls Mthly'!L:L)</f>
        <v/>
      </c>
      <c r="M13" s="687">
        <f>SUMIF('Jnls Mthly'!$A:$A,'TB Mnthly'!$A13,'Jnls Mthly'!M:M)</f>
        <v/>
      </c>
      <c r="N13" s="687">
        <f>SUMIF('Jnls Mthly'!$A:$A,'TB Mnthly'!$A13,'Jnls Mthly'!N:N)</f>
        <v/>
      </c>
      <c r="O13" s="687">
        <f>SUMIF('Jnls Mthly'!$A:$A,'TB Mnthly'!$A13,'Jnls Mthly'!O:O)</f>
        <v/>
      </c>
      <c r="P13" s="687">
        <f>SUM(C13:O13)</f>
        <v/>
      </c>
      <c r="Q13" s="680" t="n"/>
      <c r="R13" s="687">
        <f>SUMIF('Jnls Mthly'!$A:$A,'TB Mnthly'!$A13,'Jnls Mthly'!R:R)</f>
        <v/>
      </c>
      <c r="S13" s="687">
        <f>SUMIF('Jnls Mthly'!$A:$A,'TB Mnthly'!$A13,'Jnls Mthly'!S:S)</f>
        <v/>
      </c>
      <c r="T13" s="687">
        <f>SUMIF('Jnls Mthly'!$A:$A,'TB Mnthly'!$A13,'Jnls Mthly'!T:T)</f>
        <v/>
      </c>
      <c r="U13" s="687">
        <f>SUMIF('Jnls Mthly'!$A:$A,'TB Mnthly'!$A13,'Jnls Mthly'!U:U)</f>
        <v/>
      </c>
      <c r="V13" s="687">
        <f>SUMIF('Jnls Mthly'!$A:$A,'TB Mnthly'!$A13,'Jnls Mthly'!V:V)</f>
        <v/>
      </c>
      <c r="W13" s="687">
        <f>SUMIF('Jnls Mthly'!$A:$A,'TB Mnthly'!$A13,'Jnls Mthly'!W:W)</f>
        <v/>
      </c>
      <c r="X13" s="687">
        <f>SUMIF('Jnls Mthly'!$A:$A,'TB Mnthly'!$A13,'Jnls Mthly'!X:X)</f>
        <v/>
      </c>
      <c r="Y13" s="687">
        <f>SUMIF('Jnls Mthly'!$A:$A,'TB Mnthly'!$A13,'Jnls Mthly'!Y:Y)</f>
        <v/>
      </c>
      <c r="Z13" s="687">
        <f>SUMIF('Jnls Mthly'!$A:$A,'TB Mnthly'!$A13,'Jnls Mthly'!Z:Z)</f>
        <v/>
      </c>
      <c r="AA13" s="687">
        <f>SUMIF('Jnls Mthly'!$A:$A,'TB Mnthly'!$A13,'Jnls Mthly'!AA:AA)</f>
        <v/>
      </c>
      <c r="AB13" s="687">
        <f>SUMIF('Jnls Mthly'!$A:$A,'TB Mnthly'!$A13,'Jnls Mthly'!AB:AB)</f>
        <v/>
      </c>
      <c r="AC13" s="687">
        <f>SUMIF('Jnls Mthly'!$A:$A,'TB Mnthly'!$A13,'Jnls Mthly'!AC:AC)</f>
        <v/>
      </c>
      <c r="AD13" s="687">
        <f>SUM(Q13:AC13)</f>
        <v/>
      </c>
      <c r="AE13" s="680" t="n"/>
      <c r="AF13" s="687">
        <f>SUMIF('Jnls Mthly'!$A:$A,'TB Mnthly'!$A13,'Jnls Mthly'!AF:AF)</f>
        <v/>
      </c>
      <c r="AG13" s="687">
        <f>SUMIF('Jnls Mthly'!$A:$A,'TB Mnthly'!$A13,'Jnls Mthly'!AG:AG)</f>
        <v/>
      </c>
      <c r="AH13" s="687">
        <f>SUMIF('Jnls Mthly'!$A:$A,'TB Mnthly'!$A13,'Jnls Mthly'!AH:AH)</f>
        <v/>
      </c>
      <c r="AI13" s="687">
        <f>SUMIF('Jnls Mthly'!$A:$A,'TB Mnthly'!$A13,'Jnls Mthly'!AI:AI)</f>
        <v/>
      </c>
      <c r="AJ13" s="687">
        <f>SUMIF('Jnls Mthly'!$A:$A,'TB Mnthly'!$A13,'Jnls Mthly'!AJ:AJ)</f>
        <v/>
      </c>
      <c r="AK13" s="687">
        <f>SUMIF('Jnls Mthly'!$A:$A,'TB Mnthly'!$A13,'Jnls Mthly'!AK:AK)</f>
        <v/>
      </c>
      <c r="AL13" s="687">
        <f>SUMIF('Jnls Mthly'!$A:$A,'TB Mnthly'!$A13,'Jnls Mthly'!AL:AL)</f>
        <v/>
      </c>
      <c r="AM13" s="687">
        <f>SUMIF('Jnls Mthly'!$A:$A,'TB Mnthly'!$A13,'Jnls Mthly'!AM:AM)</f>
        <v/>
      </c>
      <c r="AN13" s="687">
        <f>SUMIF('Jnls Mthly'!$A:$A,'TB Mnthly'!$A13,'Jnls Mthly'!AN:AN)</f>
        <v/>
      </c>
      <c r="AO13" s="687">
        <f>SUMIF('Jnls Mthly'!$A:$A,'TB Mnthly'!$A13,'Jnls Mthly'!AO:AO)</f>
        <v/>
      </c>
      <c r="AP13" s="687">
        <f>SUMIF('Jnls Mthly'!$A:$A,'TB Mnthly'!$A13,'Jnls Mthly'!AP:AP)</f>
        <v/>
      </c>
      <c r="AQ13" s="687">
        <f>SUMIF('Jnls Mthly'!$A:$A,'TB Mnthly'!$A13,'Jnls Mthly'!AQ:AQ)</f>
        <v/>
      </c>
      <c r="AR13" s="687">
        <f>SUM(AE13:AQ13)</f>
        <v/>
      </c>
      <c r="AS13" s="680" t="n"/>
      <c r="AT13" s="687">
        <f>SUMIF('Jnls Mthly'!$A:$A,'TB Mnthly'!$A13,'Jnls Mthly'!AT:AT)</f>
        <v/>
      </c>
      <c r="AU13" s="687">
        <f>SUMIF('Jnls Mthly'!$A:$A,'TB Mnthly'!$A13,'Jnls Mthly'!AU:AU)</f>
        <v/>
      </c>
      <c r="AV13" s="687">
        <f>SUMIF('Jnls Mthly'!$A:$A,'TB Mnthly'!$A13,'Jnls Mthly'!AV:AV)</f>
        <v/>
      </c>
      <c r="AW13" s="687">
        <f>SUMIF('Jnls Mthly'!$A:$A,'TB Mnthly'!$A13,'Jnls Mthly'!AW:AW)</f>
        <v/>
      </c>
      <c r="AX13" s="687">
        <f>SUMIF('Jnls Mthly'!$A:$A,'TB Mnthly'!$A13,'Jnls Mthly'!AX:AX)</f>
        <v/>
      </c>
      <c r="AY13" s="687">
        <f>SUMIF('Jnls Mthly'!$A:$A,'TB Mnthly'!$A13,'Jnls Mthly'!AY:AY)</f>
        <v/>
      </c>
      <c r="AZ13" s="687">
        <f>SUMIF('Jnls Mthly'!$A:$A,'TB Mnthly'!$A13,'Jnls Mthly'!AZ:AZ)</f>
        <v/>
      </c>
      <c r="BA13" s="687">
        <f>SUMIF('Jnls Mthly'!$A:$A,'TB Mnthly'!$A13,'Jnls Mthly'!BA:BA)</f>
        <v/>
      </c>
      <c r="BB13" s="687">
        <f>SUMIF('Jnls Mthly'!$A:$A,'TB Mnthly'!$A13,'Jnls Mthly'!BB:BB)</f>
        <v/>
      </c>
      <c r="BC13" s="687">
        <f>SUMIF('Jnls Mthly'!$A:$A,'TB Mnthly'!$A13,'Jnls Mthly'!BC:BC)</f>
        <v/>
      </c>
      <c r="BD13" s="687">
        <f>SUMIF('Jnls Mthly'!$A:$A,'TB Mnthly'!$A13,'Jnls Mthly'!BD:BD)</f>
        <v/>
      </c>
      <c r="BE13" s="687">
        <f>SUMIF('Jnls Mthly'!$A:$A,'TB Mnthly'!$A13,'Jnls Mthly'!BE:BE)</f>
        <v/>
      </c>
      <c r="BF13" s="687">
        <f>SUM(AS13:BE13)</f>
        <v/>
      </c>
      <c r="BH13" s="687">
        <f>SUMIF('Jnls Mthly'!$A:$A,'TB Mnthly'!$A13,'Jnls Mthly'!BH:BH)</f>
        <v/>
      </c>
      <c r="BI13" s="687">
        <f>SUMIF('Jnls Mthly'!$A:$A,'TB Mnthly'!$A13,'Jnls Mthly'!BI:BI)</f>
        <v/>
      </c>
      <c r="BJ13" s="687">
        <f>SUMIF('Jnls Mthly'!$A:$A,'TB Mnthly'!$A13,'Jnls Mthly'!BJ:BJ)</f>
        <v/>
      </c>
      <c r="BK13" s="687">
        <f>SUMIF('Jnls Mthly'!$A:$A,'TB Mnthly'!$A13,'Jnls Mthly'!BK:BK)</f>
        <v/>
      </c>
      <c r="BL13" s="687">
        <f>SUMIF('Jnls Mthly'!$A:$A,'TB Mnthly'!$A13,'Jnls Mthly'!BL:BL)</f>
        <v/>
      </c>
      <c r="BM13" s="687">
        <f>SUMIF('Jnls Mthly'!$A:$A,'TB Mnthly'!$A13,'Jnls Mthly'!BM:BM)</f>
        <v/>
      </c>
      <c r="BN13" s="687">
        <f>SUMIF('Jnls Mthly'!$A:$A,'TB Mnthly'!$A13,'Jnls Mthly'!BN:BN)</f>
        <v/>
      </c>
      <c r="BO13" s="687">
        <f>SUMIF('Jnls Mthly'!$A:$A,'TB Mnthly'!$A13,'Jnls Mthly'!BO:BO)</f>
        <v/>
      </c>
      <c r="BP13" s="687">
        <f>SUMIF('Jnls Mthly'!$A:$A,'TB Mnthly'!$A13,'Jnls Mthly'!BP:BP)</f>
        <v/>
      </c>
      <c r="BQ13" s="687">
        <f>SUMIF('Jnls Mthly'!$A:$A,'TB Mnthly'!$A13,'Jnls Mthly'!BQ:BQ)</f>
        <v/>
      </c>
      <c r="BR13" s="687">
        <f>SUMIF('Jnls Mthly'!$A:$A,'TB Mnthly'!$A13,'Jnls Mthly'!BR:BR)</f>
        <v/>
      </c>
      <c r="BS13" s="687">
        <f>SUMIF('Jnls Mthly'!$A:$A,'TB Mnthly'!$A13,'Jnls Mthly'!BS:BS)</f>
        <v/>
      </c>
      <c r="BT13" s="687">
        <f>SUM(BG13:BS13)</f>
        <v/>
      </c>
    </row>
    <row r="14">
      <c r="A14" s="497">
        <f>Calc!A14</f>
        <v/>
      </c>
      <c r="C14" s="687">
        <f>SUMIF('Jnls Mthly'!$A:$A,'TB Mnthly'!$A14,'Jnls Mthly'!C:C)</f>
        <v/>
      </c>
      <c r="D14" s="687">
        <f>SUMIF('Jnls Mthly'!$A:$A,'TB Mnthly'!$A14,'Jnls Mthly'!D:D)</f>
        <v/>
      </c>
      <c r="E14" s="687">
        <f>SUMIF('Jnls Mthly'!$A:$A,'TB Mnthly'!$A14,'Jnls Mthly'!E:E)</f>
        <v/>
      </c>
      <c r="F14" s="687">
        <f>SUMIF('Jnls Mthly'!$A:$A,'TB Mnthly'!$A14,'Jnls Mthly'!F:F)</f>
        <v/>
      </c>
      <c r="G14" s="687">
        <f>SUMIF('Jnls Mthly'!$A:$A,'TB Mnthly'!$A14,'Jnls Mthly'!G:G)</f>
        <v/>
      </c>
      <c r="H14" s="687">
        <f>SUMIF('Jnls Mthly'!$A:$A,'TB Mnthly'!$A14,'Jnls Mthly'!H:H)</f>
        <v/>
      </c>
      <c r="I14" s="687">
        <f>SUMIF('Jnls Mthly'!$A:$A,'TB Mnthly'!$A14,'Jnls Mthly'!I:I)</f>
        <v/>
      </c>
      <c r="J14" s="687">
        <f>SUMIF('Jnls Mthly'!$A:$A,'TB Mnthly'!$A14,'Jnls Mthly'!J:J)</f>
        <v/>
      </c>
      <c r="K14" s="687">
        <f>SUMIF('Jnls Mthly'!$A:$A,'TB Mnthly'!$A14,'Jnls Mthly'!K:K)</f>
        <v/>
      </c>
      <c r="L14" s="687">
        <f>SUMIF('Jnls Mthly'!$A:$A,'TB Mnthly'!$A14,'Jnls Mthly'!L:L)</f>
        <v/>
      </c>
      <c r="M14" s="687">
        <f>SUMIF('Jnls Mthly'!$A:$A,'TB Mnthly'!$A14,'Jnls Mthly'!M:M)</f>
        <v/>
      </c>
      <c r="N14" s="687">
        <f>SUMIF('Jnls Mthly'!$A:$A,'TB Mnthly'!$A14,'Jnls Mthly'!N:N)</f>
        <v/>
      </c>
      <c r="O14" s="687">
        <f>SUMIF('Jnls Mthly'!$A:$A,'TB Mnthly'!$A14,'Jnls Mthly'!O:O)</f>
        <v/>
      </c>
      <c r="P14" s="687">
        <f>SUM(C14:O14)</f>
        <v/>
      </c>
      <c r="Q14" s="680" t="n"/>
      <c r="R14" s="687">
        <f>SUMIF('Jnls Mthly'!$A:$A,'TB Mnthly'!$A14,'Jnls Mthly'!R:R)</f>
        <v/>
      </c>
      <c r="S14" s="687">
        <f>SUMIF('Jnls Mthly'!$A:$A,'TB Mnthly'!$A14,'Jnls Mthly'!S:S)</f>
        <v/>
      </c>
      <c r="T14" s="687">
        <f>SUMIF('Jnls Mthly'!$A:$A,'TB Mnthly'!$A14,'Jnls Mthly'!T:T)</f>
        <v/>
      </c>
      <c r="U14" s="687">
        <f>SUMIF('Jnls Mthly'!$A:$A,'TB Mnthly'!$A14,'Jnls Mthly'!U:U)</f>
        <v/>
      </c>
      <c r="V14" s="687">
        <f>SUMIF('Jnls Mthly'!$A:$A,'TB Mnthly'!$A14,'Jnls Mthly'!V:V)</f>
        <v/>
      </c>
      <c r="W14" s="687">
        <f>SUMIF('Jnls Mthly'!$A:$A,'TB Mnthly'!$A14,'Jnls Mthly'!W:W)</f>
        <v/>
      </c>
      <c r="X14" s="687">
        <f>SUMIF('Jnls Mthly'!$A:$A,'TB Mnthly'!$A14,'Jnls Mthly'!X:X)</f>
        <v/>
      </c>
      <c r="Y14" s="687">
        <f>SUMIF('Jnls Mthly'!$A:$A,'TB Mnthly'!$A14,'Jnls Mthly'!Y:Y)</f>
        <v/>
      </c>
      <c r="Z14" s="687">
        <f>SUMIF('Jnls Mthly'!$A:$A,'TB Mnthly'!$A14,'Jnls Mthly'!Z:Z)</f>
        <v/>
      </c>
      <c r="AA14" s="687">
        <f>SUMIF('Jnls Mthly'!$A:$A,'TB Mnthly'!$A14,'Jnls Mthly'!AA:AA)</f>
        <v/>
      </c>
      <c r="AB14" s="687">
        <f>SUMIF('Jnls Mthly'!$A:$A,'TB Mnthly'!$A14,'Jnls Mthly'!AB:AB)</f>
        <v/>
      </c>
      <c r="AC14" s="687">
        <f>SUMIF('Jnls Mthly'!$A:$A,'TB Mnthly'!$A14,'Jnls Mthly'!AC:AC)</f>
        <v/>
      </c>
      <c r="AD14" s="687">
        <f>SUM(Q14:AC14)</f>
        <v/>
      </c>
      <c r="AE14" s="680" t="n"/>
      <c r="AF14" s="687">
        <f>SUMIF('Jnls Mthly'!$A:$A,'TB Mnthly'!$A14,'Jnls Mthly'!AF:AF)</f>
        <v/>
      </c>
      <c r="AG14" s="687">
        <f>SUMIF('Jnls Mthly'!$A:$A,'TB Mnthly'!$A14,'Jnls Mthly'!AG:AG)</f>
        <v/>
      </c>
      <c r="AH14" s="687">
        <f>SUMIF('Jnls Mthly'!$A:$A,'TB Mnthly'!$A14,'Jnls Mthly'!AH:AH)</f>
        <v/>
      </c>
      <c r="AI14" s="687">
        <f>SUMIF('Jnls Mthly'!$A:$A,'TB Mnthly'!$A14,'Jnls Mthly'!AI:AI)</f>
        <v/>
      </c>
      <c r="AJ14" s="687">
        <f>SUMIF('Jnls Mthly'!$A:$A,'TB Mnthly'!$A14,'Jnls Mthly'!AJ:AJ)</f>
        <v/>
      </c>
      <c r="AK14" s="687">
        <f>SUMIF('Jnls Mthly'!$A:$A,'TB Mnthly'!$A14,'Jnls Mthly'!AK:AK)</f>
        <v/>
      </c>
      <c r="AL14" s="687">
        <f>SUMIF('Jnls Mthly'!$A:$A,'TB Mnthly'!$A14,'Jnls Mthly'!AL:AL)</f>
        <v/>
      </c>
      <c r="AM14" s="687">
        <f>SUMIF('Jnls Mthly'!$A:$A,'TB Mnthly'!$A14,'Jnls Mthly'!AM:AM)</f>
        <v/>
      </c>
      <c r="AN14" s="687">
        <f>SUMIF('Jnls Mthly'!$A:$A,'TB Mnthly'!$A14,'Jnls Mthly'!AN:AN)</f>
        <v/>
      </c>
      <c r="AO14" s="687">
        <f>SUMIF('Jnls Mthly'!$A:$A,'TB Mnthly'!$A14,'Jnls Mthly'!AO:AO)</f>
        <v/>
      </c>
      <c r="AP14" s="687">
        <f>SUMIF('Jnls Mthly'!$A:$A,'TB Mnthly'!$A14,'Jnls Mthly'!AP:AP)</f>
        <v/>
      </c>
      <c r="AQ14" s="687">
        <f>SUMIF('Jnls Mthly'!$A:$A,'TB Mnthly'!$A14,'Jnls Mthly'!AQ:AQ)</f>
        <v/>
      </c>
      <c r="AR14" s="687">
        <f>SUM(AE14:AQ14)</f>
        <v/>
      </c>
      <c r="AS14" s="680" t="n"/>
      <c r="AT14" s="687">
        <f>SUMIF('Jnls Mthly'!$A:$A,'TB Mnthly'!$A14,'Jnls Mthly'!AT:AT)</f>
        <v/>
      </c>
      <c r="AU14" s="687">
        <f>SUMIF('Jnls Mthly'!$A:$A,'TB Mnthly'!$A14,'Jnls Mthly'!AU:AU)</f>
        <v/>
      </c>
      <c r="AV14" s="687">
        <f>SUMIF('Jnls Mthly'!$A:$A,'TB Mnthly'!$A14,'Jnls Mthly'!AV:AV)</f>
        <v/>
      </c>
      <c r="AW14" s="687">
        <f>SUMIF('Jnls Mthly'!$A:$A,'TB Mnthly'!$A14,'Jnls Mthly'!AW:AW)</f>
        <v/>
      </c>
      <c r="AX14" s="687">
        <f>SUMIF('Jnls Mthly'!$A:$A,'TB Mnthly'!$A14,'Jnls Mthly'!AX:AX)</f>
        <v/>
      </c>
      <c r="AY14" s="687">
        <f>SUMIF('Jnls Mthly'!$A:$A,'TB Mnthly'!$A14,'Jnls Mthly'!AY:AY)</f>
        <v/>
      </c>
      <c r="AZ14" s="687">
        <f>SUMIF('Jnls Mthly'!$A:$A,'TB Mnthly'!$A14,'Jnls Mthly'!AZ:AZ)</f>
        <v/>
      </c>
      <c r="BA14" s="687">
        <f>SUMIF('Jnls Mthly'!$A:$A,'TB Mnthly'!$A14,'Jnls Mthly'!BA:BA)</f>
        <v/>
      </c>
      <c r="BB14" s="687">
        <f>SUMIF('Jnls Mthly'!$A:$A,'TB Mnthly'!$A14,'Jnls Mthly'!BB:BB)</f>
        <v/>
      </c>
      <c r="BC14" s="687">
        <f>SUMIF('Jnls Mthly'!$A:$A,'TB Mnthly'!$A14,'Jnls Mthly'!BC:BC)</f>
        <v/>
      </c>
      <c r="BD14" s="687">
        <f>SUMIF('Jnls Mthly'!$A:$A,'TB Mnthly'!$A14,'Jnls Mthly'!BD:BD)</f>
        <v/>
      </c>
      <c r="BE14" s="687">
        <f>SUMIF('Jnls Mthly'!$A:$A,'TB Mnthly'!$A14,'Jnls Mthly'!BE:BE)</f>
        <v/>
      </c>
      <c r="BF14" s="687">
        <f>SUM(AS14:BE14)</f>
        <v/>
      </c>
      <c r="BH14" s="687">
        <f>SUMIF('Jnls Mthly'!$A:$A,'TB Mnthly'!$A14,'Jnls Mthly'!BH:BH)</f>
        <v/>
      </c>
      <c r="BI14" s="687">
        <f>SUMIF('Jnls Mthly'!$A:$A,'TB Mnthly'!$A14,'Jnls Mthly'!BI:BI)</f>
        <v/>
      </c>
      <c r="BJ14" s="687">
        <f>SUMIF('Jnls Mthly'!$A:$A,'TB Mnthly'!$A14,'Jnls Mthly'!BJ:BJ)</f>
        <v/>
      </c>
      <c r="BK14" s="687">
        <f>SUMIF('Jnls Mthly'!$A:$A,'TB Mnthly'!$A14,'Jnls Mthly'!BK:BK)</f>
        <v/>
      </c>
      <c r="BL14" s="687">
        <f>SUMIF('Jnls Mthly'!$A:$A,'TB Mnthly'!$A14,'Jnls Mthly'!BL:BL)</f>
        <v/>
      </c>
      <c r="BM14" s="687">
        <f>SUMIF('Jnls Mthly'!$A:$A,'TB Mnthly'!$A14,'Jnls Mthly'!BM:BM)</f>
        <v/>
      </c>
      <c r="BN14" s="687">
        <f>SUMIF('Jnls Mthly'!$A:$A,'TB Mnthly'!$A14,'Jnls Mthly'!BN:BN)</f>
        <v/>
      </c>
      <c r="BO14" s="687">
        <f>SUMIF('Jnls Mthly'!$A:$A,'TB Mnthly'!$A14,'Jnls Mthly'!BO:BO)</f>
        <v/>
      </c>
      <c r="BP14" s="687">
        <f>SUMIF('Jnls Mthly'!$A:$A,'TB Mnthly'!$A14,'Jnls Mthly'!BP:BP)</f>
        <v/>
      </c>
      <c r="BQ14" s="687">
        <f>SUMIF('Jnls Mthly'!$A:$A,'TB Mnthly'!$A14,'Jnls Mthly'!BQ:BQ)</f>
        <v/>
      </c>
      <c r="BR14" s="687">
        <f>SUMIF('Jnls Mthly'!$A:$A,'TB Mnthly'!$A14,'Jnls Mthly'!BR:BR)</f>
        <v/>
      </c>
      <c r="BS14" s="687">
        <f>SUMIF('Jnls Mthly'!$A:$A,'TB Mnthly'!$A14,'Jnls Mthly'!BS:BS)</f>
        <v/>
      </c>
      <c r="BT14" s="687">
        <f>SUM(BG14:BS14)</f>
        <v/>
      </c>
    </row>
    <row r="15">
      <c r="A15" s="497">
        <f>Calc!A15</f>
        <v/>
      </c>
      <c r="C15" s="687">
        <f>SUMIF('Jnls Mthly'!$A:$A,'TB Mnthly'!$A15,'Jnls Mthly'!C:C)</f>
        <v/>
      </c>
      <c r="D15" s="687">
        <f>SUMIF('Jnls Mthly'!$A:$A,'TB Mnthly'!$A15,'Jnls Mthly'!D:D)</f>
        <v/>
      </c>
      <c r="E15" s="687">
        <f>SUMIF('Jnls Mthly'!$A:$A,'TB Mnthly'!$A15,'Jnls Mthly'!E:E)</f>
        <v/>
      </c>
      <c r="F15" s="687">
        <f>SUMIF('Jnls Mthly'!$A:$A,'TB Mnthly'!$A15,'Jnls Mthly'!F:F)</f>
        <v/>
      </c>
      <c r="G15" s="687">
        <f>SUMIF('Jnls Mthly'!$A:$A,'TB Mnthly'!$A15,'Jnls Mthly'!G:G)</f>
        <v/>
      </c>
      <c r="H15" s="687">
        <f>SUMIF('Jnls Mthly'!$A:$A,'TB Mnthly'!$A15,'Jnls Mthly'!H:H)</f>
        <v/>
      </c>
      <c r="I15" s="687">
        <f>SUMIF('Jnls Mthly'!$A:$A,'TB Mnthly'!$A15,'Jnls Mthly'!I:I)</f>
        <v/>
      </c>
      <c r="J15" s="687">
        <f>SUMIF('Jnls Mthly'!$A:$A,'TB Mnthly'!$A15,'Jnls Mthly'!J:J)</f>
        <v/>
      </c>
      <c r="K15" s="687">
        <f>SUMIF('Jnls Mthly'!$A:$A,'TB Mnthly'!$A15,'Jnls Mthly'!K:K)</f>
        <v/>
      </c>
      <c r="L15" s="687">
        <f>SUMIF('Jnls Mthly'!$A:$A,'TB Mnthly'!$A15,'Jnls Mthly'!L:L)</f>
        <v/>
      </c>
      <c r="M15" s="687">
        <f>SUMIF('Jnls Mthly'!$A:$A,'TB Mnthly'!$A15,'Jnls Mthly'!M:M)</f>
        <v/>
      </c>
      <c r="N15" s="687">
        <f>SUMIF('Jnls Mthly'!$A:$A,'TB Mnthly'!$A15,'Jnls Mthly'!N:N)</f>
        <v/>
      </c>
      <c r="O15" s="687">
        <f>SUMIF('Jnls Mthly'!$A:$A,'TB Mnthly'!$A15,'Jnls Mthly'!O:O)</f>
        <v/>
      </c>
      <c r="P15" s="687">
        <f>SUM(C15:O15)</f>
        <v/>
      </c>
      <c r="Q15" s="680" t="n"/>
      <c r="R15" s="687">
        <f>SUMIF('Jnls Mthly'!$A:$A,'TB Mnthly'!$A15,'Jnls Mthly'!R:R)</f>
        <v/>
      </c>
      <c r="S15" s="687">
        <f>SUMIF('Jnls Mthly'!$A:$A,'TB Mnthly'!$A15,'Jnls Mthly'!S:S)</f>
        <v/>
      </c>
      <c r="T15" s="687">
        <f>SUMIF('Jnls Mthly'!$A:$A,'TB Mnthly'!$A15,'Jnls Mthly'!T:T)</f>
        <v/>
      </c>
      <c r="U15" s="687">
        <f>SUMIF('Jnls Mthly'!$A:$A,'TB Mnthly'!$A15,'Jnls Mthly'!U:U)</f>
        <v/>
      </c>
      <c r="V15" s="687">
        <f>SUMIF('Jnls Mthly'!$A:$A,'TB Mnthly'!$A15,'Jnls Mthly'!V:V)</f>
        <v/>
      </c>
      <c r="W15" s="687">
        <f>SUMIF('Jnls Mthly'!$A:$A,'TB Mnthly'!$A15,'Jnls Mthly'!W:W)</f>
        <v/>
      </c>
      <c r="X15" s="687">
        <f>SUMIF('Jnls Mthly'!$A:$A,'TB Mnthly'!$A15,'Jnls Mthly'!X:X)</f>
        <v/>
      </c>
      <c r="Y15" s="687">
        <f>SUMIF('Jnls Mthly'!$A:$A,'TB Mnthly'!$A15,'Jnls Mthly'!Y:Y)</f>
        <v/>
      </c>
      <c r="Z15" s="687">
        <f>SUMIF('Jnls Mthly'!$A:$A,'TB Mnthly'!$A15,'Jnls Mthly'!Z:Z)</f>
        <v/>
      </c>
      <c r="AA15" s="687">
        <f>SUMIF('Jnls Mthly'!$A:$A,'TB Mnthly'!$A15,'Jnls Mthly'!AA:AA)</f>
        <v/>
      </c>
      <c r="AB15" s="687">
        <f>SUMIF('Jnls Mthly'!$A:$A,'TB Mnthly'!$A15,'Jnls Mthly'!AB:AB)</f>
        <v/>
      </c>
      <c r="AC15" s="687">
        <f>SUMIF('Jnls Mthly'!$A:$A,'TB Mnthly'!$A15,'Jnls Mthly'!AC:AC)</f>
        <v/>
      </c>
      <c r="AD15" s="687">
        <f>SUM(Q15:AC15)</f>
        <v/>
      </c>
      <c r="AE15" s="680" t="n"/>
      <c r="AF15" s="687">
        <f>SUMIF('Jnls Mthly'!$A:$A,'TB Mnthly'!$A15,'Jnls Mthly'!AF:AF)</f>
        <v/>
      </c>
      <c r="AG15" s="687">
        <f>SUMIF('Jnls Mthly'!$A:$A,'TB Mnthly'!$A15,'Jnls Mthly'!AG:AG)</f>
        <v/>
      </c>
      <c r="AH15" s="687">
        <f>SUMIF('Jnls Mthly'!$A:$A,'TB Mnthly'!$A15,'Jnls Mthly'!AH:AH)</f>
        <v/>
      </c>
      <c r="AI15" s="687">
        <f>SUMIF('Jnls Mthly'!$A:$A,'TB Mnthly'!$A15,'Jnls Mthly'!AI:AI)</f>
        <v/>
      </c>
      <c r="AJ15" s="687">
        <f>SUMIF('Jnls Mthly'!$A:$A,'TB Mnthly'!$A15,'Jnls Mthly'!AJ:AJ)</f>
        <v/>
      </c>
      <c r="AK15" s="687">
        <f>SUMIF('Jnls Mthly'!$A:$A,'TB Mnthly'!$A15,'Jnls Mthly'!AK:AK)</f>
        <v/>
      </c>
      <c r="AL15" s="687">
        <f>SUMIF('Jnls Mthly'!$A:$A,'TB Mnthly'!$A15,'Jnls Mthly'!AL:AL)</f>
        <v/>
      </c>
      <c r="AM15" s="687">
        <f>SUMIF('Jnls Mthly'!$A:$A,'TB Mnthly'!$A15,'Jnls Mthly'!AM:AM)</f>
        <v/>
      </c>
      <c r="AN15" s="687">
        <f>SUMIF('Jnls Mthly'!$A:$A,'TB Mnthly'!$A15,'Jnls Mthly'!AN:AN)</f>
        <v/>
      </c>
      <c r="AO15" s="687">
        <f>SUMIF('Jnls Mthly'!$A:$A,'TB Mnthly'!$A15,'Jnls Mthly'!AO:AO)</f>
        <v/>
      </c>
      <c r="AP15" s="687">
        <f>SUMIF('Jnls Mthly'!$A:$A,'TB Mnthly'!$A15,'Jnls Mthly'!AP:AP)</f>
        <v/>
      </c>
      <c r="AQ15" s="687">
        <f>SUMIF('Jnls Mthly'!$A:$A,'TB Mnthly'!$A15,'Jnls Mthly'!AQ:AQ)</f>
        <v/>
      </c>
      <c r="AR15" s="687">
        <f>SUM(AE15:AQ15)</f>
        <v/>
      </c>
      <c r="AS15" s="680" t="n"/>
      <c r="AT15" s="687">
        <f>SUMIF('Jnls Mthly'!$A:$A,'TB Mnthly'!$A15,'Jnls Mthly'!AT:AT)</f>
        <v/>
      </c>
      <c r="AU15" s="687">
        <f>SUMIF('Jnls Mthly'!$A:$A,'TB Mnthly'!$A15,'Jnls Mthly'!AU:AU)</f>
        <v/>
      </c>
      <c r="AV15" s="687">
        <f>SUMIF('Jnls Mthly'!$A:$A,'TB Mnthly'!$A15,'Jnls Mthly'!AV:AV)</f>
        <v/>
      </c>
      <c r="AW15" s="687">
        <f>SUMIF('Jnls Mthly'!$A:$A,'TB Mnthly'!$A15,'Jnls Mthly'!AW:AW)</f>
        <v/>
      </c>
      <c r="AX15" s="687">
        <f>SUMIF('Jnls Mthly'!$A:$A,'TB Mnthly'!$A15,'Jnls Mthly'!AX:AX)</f>
        <v/>
      </c>
      <c r="AY15" s="687">
        <f>SUMIF('Jnls Mthly'!$A:$A,'TB Mnthly'!$A15,'Jnls Mthly'!AY:AY)</f>
        <v/>
      </c>
      <c r="AZ15" s="687">
        <f>SUMIF('Jnls Mthly'!$A:$A,'TB Mnthly'!$A15,'Jnls Mthly'!AZ:AZ)</f>
        <v/>
      </c>
      <c r="BA15" s="687">
        <f>SUMIF('Jnls Mthly'!$A:$A,'TB Mnthly'!$A15,'Jnls Mthly'!BA:BA)</f>
        <v/>
      </c>
      <c r="BB15" s="687">
        <f>SUMIF('Jnls Mthly'!$A:$A,'TB Mnthly'!$A15,'Jnls Mthly'!BB:BB)</f>
        <v/>
      </c>
      <c r="BC15" s="687">
        <f>SUMIF('Jnls Mthly'!$A:$A,'TB Mnthly'!$A15,'Jnls Mthly'!BC:BC)</f>
        <v/>
      </c>
      <c r="BD15" s="687">
        <f>SUMIF('Jnls Mthly'!$A:$A,'TB Mnthly'!$A15,'Jnls Mthly'!BD:BD)</f>
        <v/>
      </c>
      <c r="BE15" s="687">
        <f>SUMIF('Jnls Mthly'!$A:$A,'TB Mnthly'!$A15,'Jnls Mthly'!BE:BE)</f>
        <v/>
      </c>
      <c r="BF15" s="687">
        <f>SUM(AS15:BE15)</f>
        <v/>
      </c>
      <c r="BH15" s="687">
        <f>SUMIF('Jnls Mthly'!$A:$A,'TB Mnthly'!$A15,'Jnls Mthly'!BH:BH)</f>
        <v/>
      </c>
      <c r="BI15" s="687">
        <f>SUMIF('Jnls Mthly'!$A:$A,'TB Mnthly'!$A15,'Jnls Mthly'!BI:BI)</f>
        <v/>
      </c>
      <c r="BJ15" s="687">
        <f>SUMIF('Jnls Mthly'!$A:$A,'TB Mnthly'!$A15,'Jnls Mthly'!BJ:BJ)</f>
        <v/>
      </c>
      <c r="BK15" s="687">
        <f>SUMIF('Jnls Mthly'!$A:$A,'TB Mnthly'!$A15,'Jnls Mthly'!BK:BK)</f>
        <v/>
      </c>
      <c r="BL15" s="687">
        <f>SUMIF('Jnls Mthly'!$A:$A,'TB Mnthly'!$A15,'Jnls Mthly'!BL:BL)</f>
        <v/>
      </c>
      <c r="BM15" s="687">
        <f>SUMIF('Jnls Mthly'!$A:$A,'TB Mnthly'!$A15,'Jnls Mthly'!BM:BM)</f>
        <v/>
      </c>
      <c r="BN15" s="687">
        <f>SUMIF('Jnls Mthly'!$A:$A,'TB Mnthly'!$A15,'Jnls Mthly'!BN:BN)</f>
        <v/>
      </c>
      <c r="BO15" s="687">
        <f>SUMIF('Jnls Mthly'!$A:$A,'TB Mnthly'!$A15,'Jnls Mthly'!BO:BO)</f>
        <v/>
      </c>
      <c r="BP15" s="687">
        <f>SUMIF('Jnls Mthly'!$A:$A,'TB Mnthly'!$A15,'Jnls Mthly'!BP:BP)</f>
        <v/>
      </c>
      <c r="BQ15" s="687">
        <f>SUMIF('Jnls Mthly'!$A:$A,'TB Mnthly'!$A15,'Jnls Mthly'!BQ:BQ)</f>
        <v/>
      </c>
      <c r="BR15" s="687">
        <f>SUMIF('Jnls Mthly'!$A:$A,'TB Mnthly'!$A15,'Jnls Mthly'!BR:BR)</f>
        <v/>
      </c>
      <c r="BS15" s="687">
        <f>SUMIF('Jnls Mthly'!$A:$A,'TB Mnthly'!$A15,'Jnls Mthly'!BS:BS)</f>
        <v/>
      </c>
      <c r="BT15" s="687">
        <f>SUM(BG15:BS15)</f>
        <v/>
      </c>
    </row>
    <row r="16">
      <c r="A16" s="497">
        <f>Calc!A16</f>
        <v/>
      </c>
      <c r="C16" s="687">
        <f>SUMIF('Jnls Mthly'!$A:$A,'TB Mnthly'!$A16,'Jnls Mthly'!C:C)</f>
        <v/>
      </c>
      <c r="D16" s="687">
        <f>SUMIF('Jnls Mthly'!$A:$A,'TB Mnthly'!$A16,'Jnls Mthly'!D:D)</f>
        <v/>
      </c>
      <c r="E16" s="687">
        <f>SUMIF('Jnls Mthly'!$A:$A,'TB Mnthly'!$A16,'Jnls Mthly'!E:E)</f>
        <v/>
      </c>
      <c r="F16" s="687">
        <f>SUMIF('Jnls Mthly'!$A:$A,'TB Mnthly'!$A16,'Jnls Mthly'!F:F)</f>
        <v/>
      </c>
      <c r="G16" s="687">
        <f>SUMIF('Jnls Mthly'!$A:$A,'TB Mnthly'!$A16,'Jnls Mthly'!G:G)</f>
        <v/>
      </c>
      <c r="H16" s="687">
        <f>SUMIF('Jnls Mthly'!$A:$A,'TB Mnthly'!$A16,'Jnls Mthly'!H:H)</f>
        <v/>
      </c>
      <c r="I16" s="687">
        <f>SUMIF('Jnls Mthly'!$A:$A,'TB Mnthly'!$A16,'Jnls Mthly'!I:I)</f>
        <v/>
      </c>
      <c r="J16" s="687">
        <f>SUMIF('Jnls Mthly'!$A:$A,'TB Mnthly'!$A16,'Jnls Mthly'!J:J)</f>
        <v/>
      </c>
      <c r="K16" s="687">
        <f>SUMIF('Jnls Mthly'!$A:$A,'TB Mnthly'!$A16,'Jnls Mthly'!K:K)</f>
        <v/>
      </c>
      <c r="L16" s="687">
        <f>SUMIF('Jnls Mthly'!$A:$A,'TB Mnthly'!$A16,'Jnls Mthly'!L:L)</f>
        <v/>
      </c>
      <c r="M16" s="687">
        <f>SUMIF('Jnls Mthly'!$A:$A,'TB Mnthly'!$A16,'Jnls Mthly'!M:M)</f>
        <v/>
      </c>
      <c r="N16" s="687">
        <f>SUMIF('Jnls Mthly'!$A:$A,'TB Mnthly'!$A16,'Jnls Mthly'!N:N)</f>
        <v/>
      </c>
      <c r="O16" s="687">
        <f>SUMIF('Jnls Mthly'!$A:$A,'TB Mnthly'!$A16,'Jnls Mthly'!O:O)</f>
        <v/>
      </c>
      <c r="P16" s="687">
        <f>SUM(C16:O16)</f>
        <v/>
      </c>
      <c r="Q16" s="680" t="n"/>
      <c r="R16" s="687">
        <f>SUMIF('Jnls Mthly'!$A:$A,'TB Mnthly'!$A16,'Jnls Mthly'!R:R)</f>
        <v/>
      </c>
      <c r="S16" s="687">
        <f>SUMIF('Jnls Mthly'!$A:$A,'TB Mnthly'!$A16,'Jnls Mthly'!S:S)</f>
        <v/>
      </c>
      <c r="T16" s="687">
        <f>SUMIF('Jnls Mthly'!$A:$A,'TB Mnthly'!$A16,'Jnls Mthly'!T:T)</f>
        <v/>
      </c>
      <c r="U16" s="687">
        <f>SUMIF('Jnls Mthly'!$A:$A,'TB Mnthly'!$A16,'Jnls Mthly'!U:U)</f>
        <v/>
      </c>
      <c r="V16" s="687">
        <f>SUMIF('Jnls Mthly'!$A:$A,'TB Mnthly'!$A16,'Jnls Mthly'!V:V)</f>
        <v/>
      </c>
      <c r="W16" s="687">
        <f>SUMIF('Jnls Mthly'!$A:$A,'TB Mnthly'!$A16,'Jnls Mthly'!W:W)</f>
        <v/>
      </c>
      <c r="X16" s="687">
        <f>SUMIF('Jnls Mthly'!$A:$A,'TB Mnthly'!$A16,'Jnls Mthly'!X:X)</f>
        <v/>
      </c>
      <c r="Y16" s="687">
        <f>SUMIF('Jnls Mthly'!$A:$A,'TB Mnthly'!$A16,'Jnls Mthly'!Y:Y)</f>
        <v/>
      </c>
      <c r="Z16" s="687">
        <f>SUMIF('Jnls Mthly'!$A:$A,'TB Mnthly'!$A16,'Jnls Mthly'!Z:Z)</f>
        <v/>
      </c>
      <c r="AA16" s="687">
        <f>SUMIF('Jnls Mthly'!$A:$A,'TB Mnthly'!$A16,'Jnls Mthly'!AA:AA)</f>
        <v/>
      </c>
      <c r="AB16" s="687">
        <f>SUMIF('Jnls Mthly'!$A:$A,'TB Mnthly'!$A16,'Jnls Mthly'!AB:AB)</f>
        <v/>
      </c>
      <c r="AC16" s="687">
        <f>SUMIF('Jnls Mthly'!$A:$A,'TB Mnthly'!$A16,'Jnls Mthly'!AC:AC)</f>
        <v/>
      </c>
      <c r="AD16" s="687">
        <f>SUM(Q16:AC16)</f>
        <v/>
      </c>
      <c r="AE16" s="680" t="n"/>
      <c r="AF16" s="687">
        <f>SUMIF('Jnls Mthly'!$A:$A,'TB Mnthly'!$A16,'Jnls Mthly'!AF:AF)</f>
        <v/>
      </c>
      <c r="AG16" s="687">
        <f>SUMIF('Jnls Mthly'!$A:$A,'TB Mnthly'!$A16,'Jnls Mthly'!AG:AG)</f>
        <v/>
      </c>
      <c r="AH16" s="687">
        <f>SUMIF('Jnls Mthly'!$A:$A,'TB Mnthly'!$A16,'Jnls Mthly'!AH:AH)</f>
        <v/>
      </c>
      <c r="AI16" s="687">
        <f>SUMIF('Jnls Mthly'!$A:$A,'TB Mnthly'!$A16,'Jnls Mthly'!AI:AI)</f>
        <v/>
      </c>
      <c r="AJ16" s="687">
        <f>SUMIF('Jnls Mthly'!$A:$A,'TB Mnthly'!$A16,'Jnls Mthly'!AJ:AJ)</f>
        <v/>
      </c>
      <c r="AK16" s="687">
        <f>SUMIF('Jnls Mthly'!$A:$A,'TB Mnthly'!$A16,'Jnls Mthly'!AK:AK)</f>
        <v/>
      </c>
      <c r="AL16" s="687">
        <f>SUMIF('Jnls Mthly'!$A:$A,'TB Mnthly'!$A16,'Jnls Mthly'!AL:AL)</f>
        <v/>
      </c>
      <c r="AM16" s="687">
        <f>SUMIF('Jnls Mthly'!$A:$A,'TB Mnthly'!$A16,'Jnls Mthly'!AM:AM)</f>
        <v/>
      </c>
      <c r="AN16" s="687">
        <f>SUMIF('Jnls Mthly'!$A:$A,'TB Mnthly'!$A16,'Jnls Mthly'!AN:AN)</f>
        <v/>
      </c>
      <c r="AO16" s="687">
        <f>SUMIF('Jnls Mthly'!$A:$A,'TB Mnthly'!$A16,'Jnls Mthly'!AO:AO)</f>
        <v/>
      </c>
      <c r="AP16" s="687">
        <f>SUMIF('Jnls Mthly'!$A:$A,'TB Mnthly'!$A16,'Jnls Mthly'!AP:AP)</f>
        <v/>
      </c>
      <c r="AQ16" s="687">
        <f>SUMIF('Jnls Mthly'!$A:$A,'TB Mnthly'!$A16,'Jnls Mthly'!AQ:AQ)</f>
        <v/>
      </c>
      <c r="AR16" s="687">
        <f>SUM(AE16:AQ16)</f>
        <v/>
      </c>
      <c r="AS16" s="680" t="n"/>
      <c r="AT16" s="687">
        <f>SUMIF('Jnls Mthly'!$A:$A,'TB Mnthly'!$A16,'Jnls Mthly'!AT:AT)</f>
        <v/>
      </c>
      <c r="AU16" s="687">
        <f>SUMIF('Jnls Mthly'!$A:$A,'TB Mnthly'!$A16,'Jnls Mthly'!AU:AU)</f>
        <v/>
      </c>
      <c r="AV16" s="687">
        <f>SUMIF('Jnls Mthly'!$A:$A,'TB Mnthly'!$A16,'Jnls Mthly'!AV:AV)</f>
        <v/>
      </c>
      <c r="AW16" s="687">
        <f>SUMIF('Jnls Mthly'!$A:$A,'TB Mnthly'!$A16,'Jnls Mthly'!AW:AW)</f>
        <v/>
      </c>
      <c r="AX16" s="687">
        <f>SUMIF('Jnls Mthly'!$A:$A,'TB Mnthly'!$A16,'Jnls Mthly'!AX:AX)</f>
        <v/>
      </c>
      <c r="AY16" s="687">
        <f>SUMIF('Jnls Mthly'!$A:$A,'TB Mnthly'!$A16,'Jnls Mthly'!AY:AY)</f>
        <v/>
      </c>
      <c r="AZ16" s="687">
        <f>SUMIF('Jnls Mthly'!$A:$A,'TB Mnthly'!$A16,'Jnls Mthly'!AZ:AZ)</f>
        <v/>
      </c>
      <c r="BA16" s="687">
        <f>SUMIF('Jnls Mthly'!$A:$A,'TB Mnthly'!$A16,'Jnls Mthly'!BA:BA)</f>
        <v/>
      </c>
      <c r="BB16" s="687">
        <f>SUMIF('Jnls Mthly'!$A:$A,'TB Mnthly'!$A16,'Jnls Mthly'!BB:BB)</f>
        <v/>
      </c>
      <c r="BC16" s="687">
        <f>SUMIF('Jnls Mthly'!$A:$A,'TB Mnthly'!$A16,'Jnls Mthly'!BC:BC)</f>
        <v/>
      </c>
      <c r="BD16" s="687">
        <f>SUMIF('Jnls Mthly'!$A:$A,'TB Mnthly'!$A16,'Jnls Mthly'!BD:BD)</f>
        <v/>
      </c>
      <c r="BE16" s="687">
        <f>SUMIF('Jnls Mthly'!$A:$A,'TB Mnthly'!$A16,'Jnls Mthly'!BE:BE)</f>
        <v/>
      </c>
      <c r="BF16" s="687">
        <f>SUM(AS16:BE16)</f>
        <v/>
      </c>
      <c r="BH16" s="687">
        <f>SUMIF('Jnls Mthly'!$A:$A,'TB Mnthly'!$A16,'Jnls Mthly'!BH:BH)</f>
        <v/>
      </c>
      <c r="BI16" s="687">
        <f>SUMIF('Jnls Mthly'!$A:$A,'TB Mnthly'!$A16,'Jnls Mthly'!BI:BI)</f>
        <v/>
      </c>
      <c r="BJ16" s="687">
        <f>SUMIF('Jnls Mthly'!$A:$A,'TB Mnthly'!$A16,'Jnls Mthly'!BJ:BJ)</f>
        <v/>
      </c>
      <c r="BK16" s="687">
        <f>SUMIF('Jnls Mthly'!$A:$A,'TB Mnthly'!$A16,'Jnls Mthly'!BK:BK)</f>
        <v/>
      </c>
      <c r="BL16" s="687">
        <f>SUMIF('Jnls Mthly'!$A:$A,'TB Mnthly'!$A16,'Jnls Mthly'!BL:BL)</f>
        <v/>
      </c>
      <c r="BM16" s="687">
        <f>SUMIF('Jnls Mthly'!$A:$A,'TB Mnthly'!$A16,'Jnls Mthly'!BM:BM)</f>
        <v/>
      </c>
      <c r="BN16" s="687">
        <f>SUMIF('Jnls Mthly'!$A:$A,'TB Mnthly'!$A16,'Jnls Mthly'!BN:BN)</f>
        <v/>
      </c>
      <c r="BO16" s="687">
        <f>SUMIF('Jnls Mthly'!$A:$A,'TB Mnthly'!$A16,'Jnls Mthly'!BO:BO)</f>
        <v/>
      </c>
      <c r="BP16" s="687">
        <f>SUMIF('Jnls Mthly'!$A:$A,'TB Mnthly'!$A16,'Jnls Mthly'!BP:BP)</f>
        <v/>
      </c>
      <c r="BQ16" s="687">
        <f>SUMIF('Jnls Mthly'!$A:$A,'TB Mnthly'!$A16,'Jnls Mthly'!BQ:BQ)</f>
        <v/>
      </c>
      <c r="BR16" s="687">
        <f>SUMIF('Jnls Mthly'!$A:$A,'TB Mnthly'!$A16,'Jnls Mthly'!BR:BR)</f>
        <v/>
      </c>
      <c r="BS16" s="687">
        <f>SUMIF('Jnls Mthly'!$A:$A,'TB Mnthly'!$A16,'Jnls Mthly'!BS:BS)</f>
        <v/>
      </c>
      <c r="BT16" s="687">
        <f>SUM(BG16:BS16)</f>
        <v/>
      </c>
    </row>
    <row r="17">
      <c r="A17" s="497">
        <f>Calc!A17</f>
        <v/>
      </c>
      <c r="C17" s="687">
        <f>SUMIF('Jnls Mthly'!$A:$A,'TB Mnthly'!$A17,'Jnls Mthly'!C:C)</f>
        <v/>
      </c>
      <c r="D17" s="687">
        <f>SUMIF('Jnls Mthly'!$A:$A,'TB Mnthly'!$A17,'Jnls Mthly'!D:D)</f>
        <v/>
      </c>
      <c r="E17" s="687">
        <f>SUMIF('Jnls Mthly'!$A:$A,'TB Mnthly'!$A17,'Jnls Mthly'!E:E)</f>
        <v/>
      </c>
      <c r="F17" s="687">
        <f>SUMIF('Jnls Mthly'!$A:$A,'TB Mnthly'!$A17,'Jnls Mthly'!F:F)</f>
        <v/>
      </c>
      <c r="G17" s="687">
        <f>SUMIF('Jnls Mthly'!$A:$A,'TB Mnthly'!$A17,'Jnls Mthly'!G:G)</f>
        <v/>
      </c>
      <c r="H17" s="687">
        <f>SUMIF('Jnls Mthly'!$A:$A,'TB Mnthly'!$A17,'Jnls Mthly'!H:H)</f>
        <v/>
      </c>
      <c r="I17" s="687">
        <f>SUMIF('Jnls Mthly'!$A:$A,'TB Mnthly'!$A17,'Jnls Mthly'!I:I)</f>
        <v/>
      </c>
      <c r="J17" s="687">
        <f>SUMIF('Jnls Mthly'!$A:$A,'TB Mnthly'!$A17,'Jnls Mthly'!J:J)</f>
        <v/>
      </c>
      <c r="K17" s="687">
        <f>SUMIF('Jnls Mthly'!$A:$A,'TB Mnthly'!$A17,'Jnls Mthly'!K:K)</f>
        <v/>
      </c>
      <c r="L17" s="687">
        <f>SUMIF('Jnls Mthly'!$A:$A,'TB Mnthly'!$A17,'Jnls Mthly'!L:L)</f>
        <v/>
      </c>
      <c r="M17" s="687">
        <f>SUMIF('Jnls Mthly'!$A:$A,'TB Mnthly'!$A17,'Jnls Mthly'!M:M)</f>
        <v/>
      </c>
      <c r="N17" s="687">
        <f>SUMIF('Jnls Mthly'!$A:$A,'TB Mnthly'!$A17,'Jnls Mthly'!N:N)</f>
        <v/>
      </c>
      <c r="O17" s="687">
        <f>SUMIF('Jnls Mthly'!$A:$A,'TB Mnthly'!$A17,'Jnls Mthly'!O:O)</f>
        <v/>
      </c>
      <c r="P17" s="687">
        <f>SUM(C17:O17)</f>
        <v/>
      </c>
      <c r="Q17" s="680" t="n"/>
      <c r="R17" s="687">
        <f>SUMIF('Jnls Mthly'!$A:$A,'TB Mnthly'!$A17,'Jnls Mthly'!R:R)</f>
        <v/>
      </c>
      <c r="S17" s="687">
        <f>SUMIF('Jnls Mthly'!$A:$A,'TB Mnthly'!$A17,'Jnls Mthly'!S:S)</f>
        <v/>
      </c>
      <c r="T17" s="687">
        <f>SUMIF('Jnls Mthly'!$A:$A,'TB Mnthly'!$A17,'Jnls Mthly'!T:T)</f>
        <v/>
      </c>
      <c r="U17" s="687">
        <f>SUMIF('Jnls Mthly'!$A:$A,'TB Mnthly'!$A17,'Jnls Mthly'!U:U)</f>
        <v/>
      </c>
      <c r="V17" s="687">
        <f>SUMIF('Jnls Mthly'!$A:$A,'TB Mnthly'!$A17,'Jnls Mthly'!V:V)</f>
        <v/>
      </c>
      <c r="W17" s="687">
        <f>SUMIF('Jnls Mthly'!$A:$A,'TB Mnthly'!$A17,'Jnls Mthly'!W:W)</f>
        <v/>
      </c>
      <c r="X17" s="687">
        <f>SUMIF('Jnls Mthly'!$A:$A,'TB Mnthly'!$A17,'Jnls Mthly'!X:X)</f>
        <v/>
      </c>
      <c r="Y17" s="687">
        <f>SUMIF('Jnls Mthly'!$A:$A,'TB Mnthly'!$A17,'Jnls Mthly'!Y:Y)</f>
        <v/>
      </c>
      <c r="Z17" s="687">
        <f>SUMIF('Jnls Mthly'!$A:$A,'TB Mnthly'!$A17,'Jnls Mthly'!Z:Z)</f>
        <v/>
      </c>
      <c r="AA17" s="687">
        <f>SUMIF('Jnls Mthly'!$A:$A,'TB Mnthly'!$A17,'Jnls Mthly'!AA:AA)</f>
        <v/>
      </c>
      <c r="AB17" s="687">
        <f>SUMIF('Jnls Mthly'!$A:$A,'TB Mnthly'!$A17,'Jnls Mthly'!AB:AB)</f>
        <v/>
      </c>
      <c r="AC17" s="687">
        <f>SUMIF('Jnls Mthly'!$A:$A,'TB Mnthly'!$A17,'Jnls Mthly'!AC:AC)</f>
        <v/>
      </c>
      <c r="AD17" s="687">
        <f>SUM(Q17:AC17)</f>
        <v/>
      </c>
      <c r="AE17" s="680" t="n"/>
      <c r="AF17" s="687">
        <f>SUMIF('Jnls Mthly'!$A:$A,'TB Mnthly'!$A17,'Jnls Mthly'!AF:AF)</f>
        <v/>
      </c>
      <c r="AG17" s="687">
        <f>SUMIF('Jnls Mthly'!$A:$A,'TB Mnthly'!$A17,'Jnls Mthly'!AG:AG)</f>
        <v/>
      </c>
      <c r="AH17" s="687">
        <f>SUMIF('Jnls Mthly'!$A:$A,'TB Mnthly'!$A17,'Jnls Mthly'!AH:AH)</f>
        <v/>
      </c>
      <c r="AI17" s="687">
        <f>SUMIF('Jnls Mthly'!$A:$A,'TB Mnthly'!$A17,'Jnls Mthly'!AI:AI)</f>
        <v/>
      </c>
      <c r="AJ17" s="687">
        <f>SUMIF('Jnls Mthly'!$A:$A,'TB Mnthly'!$A17,'Jnls Mthly'!AJ:AJ)</f>
        <v/>
      </c>
      <c r="AK17" s="687">
        <f>SUMIF('Jnls Mthly'!$A:$A,'TB Mnthly'!$A17,'Jnls Mthly'!AK:AK)</f>
        <v/>
      </c>
      <c r="AL17" s="687">
        <f>SUMIF('Jnls Mthly'!$A:$A,'TB Mnthly'!$A17,'Jnls Mthly'!AL:AL)</f>
        <v/>
      </c>
      <c r="AM17" s="687">
        <f>SUMIF('Jnls Mthly'!$A:$A,'TB Mnthly'!$A17,'Jnls Mthly'!AM:AM)</f>
        <v/>
      </c>
      <c r="AN17" s="687">
        <f>SUMIF('Jnls Mthly'!$A:$A,'TB Mnthly'!$A17,'Jnls Mthly'!AN:AN)</f>
        <v/>
      </c>
      <c r="AO17" s="687">
        <f>SUMIF('Jnls Mthly'!$A:$A,'TB Mnthly'!$A17,'Jnls Mthly'!AO:AO)</f>
        <v/>
      </c>
      <c r="AP17" s="687">
        <f>SUMIF('Jnls Mthly'!$A:$A,'TB Mnthly'!$A17,'Jnls Mthly'!AP:AP)</f>
        <v/>
      </c>
      <c r="AQ17" s="687">
        <f>SUMIF('Jnls Mthly'!$A:$A,'TB Mnthly'!$A17,'Jnls Mthly'!AQ:AQ)</f>
        <v/>
      </c>
      <c r="AR17" s="687">
        <f>SUM(AE17:AQ17)</f>
        <v/>
      </c>
      <c r="AS17" s="680" t="n"/>
      <c r="AT17" s="687">
        <f>SUMIF('Jnls Mthly'!$A:$A,'TB Mnthly'!$A17,'Jnls Mthly'!AT:AT)</f>
        <v/>
      </c>
      <c r="AU17" s="687">
        <f>SUMIF('Jnls Mthly'!$A:$A,'TB Mnthly'!$A17,'Jnls Mthly'!AU:AU)</f>
        <v/>
      </c>
      <c r="AV17" s="687">
        <f>SUMIF('Jnls Mthly'!$A:$A,'TB Mnthly'!$A17,'Jnls Mthly'!AV:AV)</f>
        <v/>
      </c>
      <c r="AW17" s="687">
        <f>SUMIF('Jnls Mthly'!$A:$A,'TB Mnthly'!$A17,'Jnls Mthly'!AW:AW)</f>
        <v/>
      </c>
      <c r="AX17" s="687">
        <f>SUMIF('Jnls Mthly'!$A:$A,'TB Mnthly'!$A17,'Jnls Mthly'!AX:AX)</f>
        <v/>
      </c>
      <c r="AY17" s="687">
        <f>SUMIF('Jnls Mthly'!$A:$A,'TB Mnthly'!$A17,'Jnls Mthly'!AY:AY)</f>
        <v/>
      </c>
      <c r="AZ17" s="687">
        <f>SUMIF('Jnls Mthly'!$A:$A,'TB Mnthly'!$A17,'Jnls Mthly'!AZ:AZ)</f>
        <v/>
      </c>
      <c r="BA17" s="687">
        <f>SUMIF('Jnls Mthly'!$A:$A,'TB Mnthly'!$A17,'Jnls Mthly'!BA:BA)</f>
        <v/>
      </c>
      <c r="BB17" s="687">
        <f>SUMIF('Jnls Mthly'!$A:$A,'TB Mnthly'!$A17,'Jnls Mthly'!BB:BB)</f>
        <v/>
      </c>
      <c r="BC17" s="687">
        <f>SUMIF('Jnls Mthly'!$A:$A,'TB Mnthly'!$A17,'Jnls Mthly'!BC:BC)</f>
        <v/>
      </c>
      <c r="BD17" s="687">
        <f>SUMIF('Jnls Mthly'!$A:$A,'TB Mnthly'!$A17,'Jnls Mthly'!BD:BD)</f>
        <v/>
      </c>
      <c r="BE17" s="687">
        <f>SUMIF('Jnls Mthly'!$A:$A,'TB Mnthly'!$A17,'Jnls Mthly'!BE:BE)</f>
        <v/>
      </c>
      <c r="BF17" s="687">
        <f>SUM(AS17:BE17)</f>
        <v/>
      </c>
      <c r="BH17" s="687">
        <f>SUMIF('Jnls Mthly'!$A:$A,'TB Mnthly'!$A17,'Jnls Mthly'!BH:BH)</f>
        <v/>
      </c>
      <c r="BI17" s="687">
        <f>SUMIF('Jnls Mthly'!$A:$A,'TB Mnthly'!$A17,'Jnls Mthly'!BI:BI)</f>
        <v/>
      </c>
      <c r="BJ17" s="687">
        <f>SUMIF('Jnls Mthly'!$A:$A,'TB Mnthly'!$A17,'Jnls Mthly'!BJ:BJ)</f>
        <v/>
      </c>
      <c r="BK17" s="687">
        <f>SUMIF('Jnls Mthly'!$A:$A,'TB Mnthly'!$A17,'Jnls Mthly'!BK:BK)</f>
        <v/>
      </c>
      <c r="BL17" s="687">
        <f>SUMIF('Jnls Mthly'!$A:$A,'TB Mnthly'!$A17,'Jnls Mthly'!BL:BL)</f>
        <v/>
      </c>
      <c r="BM17" s="687">
        <f>SUMIF('Jnls Mthly'!$A:$A,'TB Mnthly'!$A17,'Jnls Mthly'!BM:BM)</f>
        <v/>
      </c>
      <c r="BN17" s="687">
        <f>SUMIF('Jnls Mthly'!$A:$A,'TB Mnthly'!$A17,'Jnls Mthly'!BN:BN)</f>
        <v/>
      </c>
      <c r="BO17" s="687">
        <f>SUMIF('Jnls Mthly'!$A:$A,'TB Mnthly'!$A17,'Jnls Mthly'!BO:BO)</f>
        <v/>
      </c>
      <c r="BP17" s="687">
        <f>SUMIF('Jnls Mthly'!$A:$A,'TB Mnthly'!$A17,'Jnls Mthly'!BP:BP)</f>
        <v/>
      </c>
      <c r="BQ17" s="687">
        <f>SUMIF('Jnls Mthly'!$A:$A,'TB Mnthly'!$A17,'Jnls Mthly'!BQ:BQ)</f>
        <v/>
      </c>
      <c r="BR17" s="687">
        <f>SUMIF('Jnls Mthly'!$A:$A,'TB Mnthly'!$A17,'Jnls Mthly'!BR:BR)</f>
        <v/>
      </c>
      <c r="BS17" s="687">
        <f>SUMIF('Jnls Mthly'!$A:$A,'TB Mnthly'!$A17,'Jnls Mthly'!BS:BS)</f>
        <v/>
      </c>
      <c r="BT17" s="687">
        <f>SUM(BG17:BS17)</f>
        <v/>
      </c>
    </row>
    <row r="18">
      <c r="A18" s="497" t="inlineStr">
        <is>
          <t>Airtime Vouchers</t>
        </is>
      </c>
      <c r="C18" s="687">
        <f>SUMIF('Jnls Mthly'!$A:$A,'TB Mnthly'!$A18,'Jnls Mthly'!C:C)</f>
        <v/>
      </c>
      <c r="D18" s="687">
        <f>SUMIF('Jnls Mthly'!$A:$A,'TB Mnthly'!$A18,'Jnls Mthly'!D:D)</f>
        <v/>
      </c>
      <c r="E18" s="687">
        <f>SUMIF('Jnls Mthly'!$A:$A,'TB Mnthly'!$A18,'Jnls Mthly'!E:E)</f>
        <v/>
      </c>
      <c r="F18" s="687">
        <f>SUMIF('Jnls Mthly'!$A:$A,'TB Mnthly'!$A18,'Jnls Mthly'!F:F)</f>
        <v/>
      </c>
      <c r="G18" s="687">
        <f>SUMIF('Jnls Mthly'!$A:$A,'TB Mnthly'!$A18,'Jnls Mthly'!G:G)</f>
        <v/>
      </c>
      <c r="H18" s="687">
        <f>SUMIF('Jnls Mthly'!$A:$A,'TB Mnthly'!$A18,'Jnls Mthly'!H:H)</f>
        <v/>
      </c>
      <c r="I18" s="687">
        <f>SUMIF('Jnls Mthly'!$A:$A,'TB Mnthly'!$A18,'Jnls Mthly'!I:I)</f>
        <v/>
      </c>
      <c r="J18" s="687">
        <f>SUMIF('Jnls Mthly'!$A:$A,'TB Mnthly'!$A18,'Jnls Mthly'!J:J)</f>
        <v/>
      </c>
      <c r="K18" s="687">
        <f>SUMIF('Jnls Mthly'!$A:$A,'TB Mnthly'!$A18,'Jnls Mthly'!K:K)</f>
        <v/>
      </c>
      <c r="L18" s="687">
        <f>SUMIF('Jnls Mthly'!$A:$A,'TB Mnthly'!$A18,'Jnls Mthly'!L:L)</f>
        <v/>
      </c>
      <c r="M18" s="687">
        <f>SUMIF('Jnls Mthly'!$A:$A,'TB Mnthly'!$A18,'Jnls Mthly'!M:M)</f>
        <v/>
      </c>
      <c r="N18" s="687">
        <f>SUMIF('Jnls Mthly'!$A:$A,'TB Mnthly'!$A18,'Jnls Mthly'!N:N)</f>
        <v/>
      </c>
      <c r="O18" s="687">
        <f>SUMIF('Jnls Mthly'!$A:$A,'TB Mnthly'!$A18,'Jnls Mthly'!O:O)</f>
        <v/>
      </c>
      <c r="P18" s="687">
        <f>SUM(C18:O18)</f>
        <v/>
      </c>
      <c r="Q18" s="680" t="n"/>
      <c r="R18" s="687">
        <f>SUMIF('Jnls Mthly'!$A:$A,'TB Mnthly'!$A18,'Jnls Mthly'!R:R)</f>
        <v/>
      </c>
      <c r="S18" s="687">
        <f>SUMIF('Jnls Mthly'!$A:$A,'TB Mnthly'!$A18,'Jnls Mthly'!S:S)</f>
        <v/>
      </c>
      <c r="T18" s="687">
        <f>SUMIF('Jnls Mthly'!$A:$A,'TB Mnthly'!$A18,'Jnls Mthly'!T:T)</f>
        <v/>
      </c>
      <c r="U18" s="687">
        <f>SUMIF('Jnls Mthly'!$A:$A,'TB Mnthly'!$A18,'Jnls Mthly'!U:U)</f>
        <v/>
      </c>
      <c r="V18" s="687">
        <f>SUMIF('Jnls Mthly'!$A:$A,'TB Mnthly'!$A18,'Jnls Mthly'!V:V)</f>
        <v/>
      </c>
      <c r="W18" s="687">
        <f>SUMIF('Jnls Mthly'!$A:$A,'TB Mnthly'!$A18,'Jnls Mthly'!W:W)</f>
        <v/>
      </c>
      <c r="X18" s="687">
        <f>SUMIF('Jnls Mthly'!$A:$A,'TB Mnthly'!$A18,'Jnls Mthly'!X:X)</f>
        <v/>
      </c>
      <c r="Y18" s="687">
        <f>SUMIF('Jnls Mthly'!$A:$A,'TB Mnthly'!$A18,'Jnls Mthly'!Y:Y)</f>
        <v/>
      </c>
      <c r="Z18" s="687">
        <f>SUMIF('Jnls Mthly'!$A:$A,'TB Mnthly'!$A18,'Jnls Mthly'!Z:Z)</f>
        <v/>
      </c>
      <c r="AA18" s="687">
        <f>SUMIF('Jnls Mthly'!$A:$A,'TB Mnthly'!$A18,'Jnls Mthly'!AA:AA)</f>
        <v/>
      </c>
      <c r="AB18" s="687">
        <f>SUMIF('Jnls Mthly'!$A:$A,'TB Mnthly'!$A18,'Jnls Mthly'!AB:AB)</f>
        <v/>
      </c>
      <c r="AC18" s="687">
        <f>SUMIF('Jnls Mthly'!$A:$A,'TB Mnthly'!$A18,'Jnls Mthly'!AC:AC)</f>
        <v/>
      </c>
      <c r="AD18" s="687">
        <f>SUM(Q18:AC18)</f>
        <v/>
      </c>
      <c r="AE18" s="680" t="n"/>
      <c r="AF18" s="687">
        <f>SUMIF('Jnls Mthly'!$A:$A,'TB Mnthly'!$A18,'Jnls Mthly'!AF:AF)</f>
        <v/>
      </c>
      <c r="AG18" s="687">
        <f>SUMIF('Jnls Mthly'!$A:$A,'TB Mnthly'!$A18,'Jnls Mthly'!AG:AG)</f>
        <v/>
      </c>
      <c r="AH18" s="687">
        <f>SUMIF('Jnls Mthly'!$A:$A,'TB Mnthly'!$A18,'Jnls Mthly'!AH:AH)</f>
        <v/>
      </c>
      <c r="AI18" s="687">
        <f>SUMIF('Jnls Mthly'!$A:$A,'TB Mnthly'!$A18,'Jnls Mthly'!AI:AI)</f>
        <v/>
      </c>
      <c r="AJ18" s="687">
        <f>SUMIF('Jnls Mthly'!$A:$A,'TB Mnthly'!$A18,'Jnls Mthly'!AJ:AJ)</f>
        <v/>
      </c>
      <c r="AK18" s="687">
        <f>SUMIF('Jnls Mthly'!$A:$A,'TB Mnthly'!$A18,'Jnls Mthly'!AK:AK)</f>
        <v/>
      </c>
      <c r="AL18" s="687">
        <f>SUMIF('Jnls Mthly'!$A:$A,'TB Mnthly'!$A18,'Jnls Mthly'!AL:AL)</f>
        <v/>
      </c>
      <c r="AM18" s="687">
        <f>SUMIF('Jnls Mthly'!$A:$A,'TB Mnthly'!$A18,'Jnls Mthly'!AM:AM)</f>
        <v/>
      </c>
      <c r="AN18" s="687">
        <f>SUMIF('Jnls Mthly'!$A:$A,'TB Mnthly'!$A18,'Jnls Mthly'!AN:AN)</f>
        <v/>
      </c>
      <c r="AO18" s="687">
        <f>SUMIF('Jnls Mthly'!$A:$A,'TB Mnthly'!$A18,'Jnls Mthly'!AO:AO)</f>
        <v/>
      </c>
      <c r="AP18" s="687">
        <f>SUMIF('Jnls Mthly'!$A:$A,'TB Mnthly'!$A18,'Jnls Mthly'!AP:AP)</f>
        <v/>
      </c>
      <c r="AQ18" s="687">
        <f>SUMIF('Jnls Mthly'!$A:$A,'TB Mnthly'!$A18,'Jnls Mthly'!AQ:AQ)</f>
        <v/>
      </c>
      <c r="AR18" s="687">
        <f>SUM(AE18:AQ18)</f>
        <v/>
      </c>
      <c r="AS18" s="680" t="n"/>
      <c r="AT18" s="687">
        <f>SUMIF('Jnls Mthly'!$A:$A,'TB Mnthly'!$A18,'Jnls Mthly'!AT:AT)</f>
        <v/>
      </c>
      <c r="AU18" s="687">
        <f>SUMIF('Jnls Mthly'!$A:$A,'TB Mnthly'!$A18,'Jnls Mthly'!AU:AU)</f>
        <v/>
      </c>
      <c r="AV18" s="687">
        <f>SUMIF('Jnls Mthly'!$A:$A,'TB Mnthly'!$A18,'Jnls Mthly'!AV:AV)</f>
        <v/>
      </c>
      <c r="AW18" s="687">
        <f>SUMIF('Jnls Mthly'!$A:$A,'TB Mnthly'!$A18,'Jnls Mthly'!AW:AW)</f>
        <v/>
      </c>
      <c r="AX18" s="687">
        <f>SUMIF('Jnls Mthly'!$A:$A,'TB Mnthly'!$A18,'Jnls Mthly'!AX:AX)</f>
        <v/>
      </c>
      <c r="AY18" s="687">
        <f>SUMIF('Jnls Mthly'!$A:$A,'TB Mnthly'!$A18,'Jnls Mthly'!AY:AY)</f>
        <v/>
      </c>
      <c r="AZ18" s="687">
        <f>SUMIF('Jnls Mthly'!$A:$A,'TB Mnthly'!$A18,'Jnls Mthly'!AZ:AZ)</f>
        <v/>
      </c>
      <c r="BA18" s="687">
        <f>SUMIF('Jnls Mthly'!$A:$A,'TB Mnthly'!$A18,'Jnls Mthly'!BA:BA)</f>
        <v/>
      </c>
      <c r="BB18" s="687">
        <f>SUMIF('Jnls Mthly'!$A:$A,'TB Mnthly'!$A18,'Jnls Mthly'!BB:BB)</f>
        <v/>
      </c>
      <c r="BC18" s="687">
        <f>SUMIF('Jnls Mthly'!$A:$A,'TB Mnthly'!$A18,'Jnls Mthly'!BC:BC)</f>
        <v/>
      </c>
      <c r="BD18" s="687">
        <f>SUMIF('Jnls Mthly'!$A:$A,'TB Mnthly'!$A18,'Jnls Mthly'!BD:BD)</f>
        <v/>
      </c>
      <c r="BE18" s="687">
        <f>SUMIF('Jnls Mthly'!$A:$A,'TB Mnthly'!$A18,'Jnls Mthly'!BE:BE)</f>
        <v/>
      </c>
      <c r="BF18" s="687">
        <f>SUM(AS18:BE18)</f>
        <v/>
      </c>
      <c r="BH18" s="687">
        <f>SUMIF('Jnls Mthly'!$A:$A,'TB Mnthly'!$A18,'Jnls Mthly'!BH:BH)</f>
        <v/>
      </c>
      <c r="BI18" s="687">
        <f>SUMIF('Jnls Mthly'!$A:$A,'TB Mnthly'!$A18,'Jnls Mthly'!BI:BI)</f>
        <v/>
      </c>
      <c r="BJ18" s="687">
        <f>SUMIF('Jnls Mthly'!$A:$A,'TB Mnthly'!$A18,'Jnls Mthly'!BJ:BJ)</f>
        <v/>
      </c>
      <c r="BK18" s="687">
        <f>SUMIF('Jnls Mthly'!$A:$A,'TB Mnthly'!$A18,'Jnls Mthly'!BK:BK)</f>
        <v/>
      </c>
      <c r="BL18" s="687">
        <f>SUMIF('Jnls Mthly'!$A:$A,'TB Mnthly'!$A18,'Jnls Mthly'!BL:BL)</f>
        <v/>
      </c>
      <c r="BM18" s="687">
        <f>SUMIF('Jnls Mthly'!$A:$A,'TB Mnthly'!$A18,'Jnls Mthly'!BM:BM)</f>
        <v/>
      </c>
      <c r="BN18" s="687">
        <f>SUMIF('Jnls Mthly'!$A:$A,'TB Mnthly'!$A18,'Jnls Mthly'!BN:BN)</f>
        <v/>
      </c>
      <c r="BO18" s="687">
        <f>SUMIF('Jnls Mthly'!$A:$A,'TB Mnthly'!$A18,'Jnls Mthly'!BO:BO)</f>
        <v/>
      </c>
      <c r="BP18" s="687">
        <f>SUMIF('Jnls Mthly'!$A:$A,'TB Mnthly'!$A18,'Jnls Mthly'!BP:BP)</f>
        <v/>
      </c>
      <c r="BQ18" s="687">
        <f>SUMIF('Jnls Mthly'!$A:$A,'TB Mnthly'!$A18,'Jnls Mthly'!BQ:BQ)</f>
        <v/>
      </c>
      <c r="BR18" s="687">
        <f>SUMIF('Jnls Mthly'!$A:$A,'TB Mnthly'!$A18,'Jnls Mthly'!BR:BR)</f>
        <v/>
      </c>
      <c r="BS18" s="687">
        <f>SUMIF('Jnls Mthly'!$A:$A,'TB Mnthly'!$A18,'Jnls Mthly'!BS:BS)</f>
        <v/>
      </c>
      <c r="BT18" s="687">
        <f>SUM(BG18:BS18)</f>
        <v/>
      </c>
    </row>
    <row r="19">
      <c r="A19" s="497" t="inlineStr">
        <is>
          <t>Kiosk Staff</t>
        </is>
      </c>
      <c r="C19" s="687">
        <f>SUMIF('Jnls Mthly'!$A:$A,'TB Mnthly'!$A19,'Jnls Mthly'!C:C)</f>
        <v/>
      </c>
      <c r="D19" s="687">
        <f>SUMIF('Jnls Mthly'!$A:$A,'TB Mnthly'!$A19,'Jnls Mthly'!D:D)</f>
        <v/>
      </c>
      <c r="E19" s="687">
        <f>SUMIF('Jnls Mthly'!$A:$A,'TB Mnthly'!$A19,'Jnls Mthly'!E:E)</f>
        <v/>
      </c>
      <c r="F19" s="687">
        <f>SUMIF('Jnls Mthly'!$A:$A,'TB Mnthly'!$A19,'Jnls Mthly'!F:F)</f>
        <v/>
      </c>
      <c r="G19" s="687">
        <f>SUMIF('Jnls Mthly'!$A:$A,'TB Mnthly'!$A19,'Jnls Mthly'!G:G)</f>
        <v/>
      </c>
      <c r="H19" s="687">
        <f>SUMIF('Jnls Mthly'!$A:$A,'TB Mnthly'!$A19,'Jnls Mthly'!H:H)</f>
        <v/>
      </c>
      <c r="I19" s="687">
        <f>SUMIF('Jnls Mthly'!$A:$A,'TB Mnthly'!$A19,'Jnls Mthly'!I:I)</f>
        <v/>
      </c>
      <c r="J19" s="687">
        <f>SUMIF('Jnls Mthly'!$A:$A,'TB Mnthly'!$A19,'Jnls Mthly'!J:J)</f>
        <v/>
      </c>
      <c r="K19" s="687">
        <f>SUMIF('Jnls Mthly'!$A:$A,'TB Mnthly'!$A19,'Jnls Mthly'!K:K)</f>
        <v/>
      </c>
      <c r="L19" s="687">
        <f>SUMIF('Jnls Mthly'!$A:$A,'TB Mnthly'!$A19,'Jnls Mthly'!L:L)</f>
        <v/>
      </c>
      <c r="M19" s="687">
        <f>SUMIF('Jnls Mthly'!$A:$A,'TB Mnthly'!$A19,'Jnls Mthly'!M:M)</f>
        <v/>
      </c>
      <c r="N19" s="687">
        <f>SUMIF('Jnls Mthly'!$A:$A,'TB Mnthly'!$A19,'Jnls Mthly'!N:N)</f>
        <v/>
      </c>
      <c r="O19" s="687">
        <f>SUMIF('Jnls Mthly'!$A:$A,'TB Mnthly'!$A19,'Jnls Mthly'!O:O)</f>
        <v/>
      </c>
      <c r="P19" s="687">
        <f>SUM(C19:O19)</f>
        <v/>
      </c>
      <c r="Q19" s="680" t="n"/>
      <c r="R19" s="687">
        <f>SUMIF('Jnls Mthly'!$A:$A,'TB Mnthly'!$A19,'Jnls Mthly'!R:R)</f>
        <v/>
      </c>
      <c r="S19" s="687">
        <f>SUMIF('Jnls Mthly'!$A:$A,'TB Mnthly'!$A19,'Jnls Mthly'!S:S)</f>
        <v/>
      </c>
      <c r="T19" s="687">
        <f>SUMIF('Jnls Mthly'!$A:$A,'TB Mnthly'!$A19,'Jnls Mthly'!T:T)</f>
        <v/>
      </c>
      <c r="U19" s="687">
        <f>SUMIF('Jnls Mthly'!$A:$A,'TB Mnthly'!$A19,'Jnls Mthly'!U:U)</f>
        <v/>
      </c>
      <c r="V19" s="687">
        <f>SUMIF('Jnls Mthly'!$A:$A,'TB Mnthly'!$A19,'Jnls Mthly'!V:V)</f>
        <v/>
      </c>
      <c r="W19" s="687">
        <f>SUMIF('Jnls Mthly'!$A:$A,'TB Mnthly'!$A19,'Jnls Mthly'!W:W)</f>
        <v/>
      </c>
      <c r="X19" s="687">
        <f>SUMIF('Jnls Mthly'!$A:$A,'TB Mnthly'!$A19,'Jnls Mthly'!X:X)</f>
        <v/>
      </c>
      <c r="Y19" s="687">
        <f>SUMIF('Jnls Mthly'!$A:$A,'TB Mnthly'!$A19,'Jnls Mthly'!Y:Y)</f>
        <v/>
      </c>
      <c r="Z19" s="687">
        <f>SUMIF('Jnls Mthly'!$A:$A,'TB Mnthly'!$A19,'Jnls Mthly'!Z:Z)</f>
        <v/>
      </c>
      <c r="AA19" s="687">
        <f>SUMIF('Jnls Mthly'!$A:$A,'TB Mnthly'!$A19,'Jnls Mthly'!AA:AA)</f>
        <v/>
      </c>
      <c r="AB19" s="687">
        <f>SUMIF('Jnls Mthly'!$A:$A,'TB Mnthly'!$A19,'Jnls Mthly'!AB:AB)</f>
        <v/>
      </c>
      <c r="AC19" s="687">
        <f>SUMIF('Jnls Mthly'!$A:$A,'TB Mnthly'!$A19,'Jnls Mthly'!AC:AC)</f>
        <v/>
      </c>
      <c r="AD19" s="687">
        <f>SUM(Q19:AC19)</f>
        <v/>
      </c>
      <c r="AE19" s="680" t="n"/>
      <c r="AF19" s="687">
        <f>SUMIF('Jnls Mthly'!$A:$A,'TB Mnthly'!$A19,'Jnls Mthly'!AF:AF)</f>
        <v/>
      </c>
      <c r="AG19" s="687">
        <f>SUMIF('Jnls Mthly'!$A:$A,'TB Mnthly'!$A19,'Jnls Mthly'!AG:AG)</f>
        <v/>
      </c>
      <c r="AH19" s="687">
        <f>SUMIF('Jnls Mthly'!$A:$A,'TB Mnthly'!$A19,'Jnls Mthly'!AH:AH)</f>
        <v/>
      </c>
      <c r="AI19" s="687">
        <f>SUMIF('Jnls Mthly'!$A:$A,'TB Mnthly'!$A19,'Jnls Mthly'!AI:AI)</f>
        <v/>
      </c>
      <c r="AJ19" s="687">
        <f>SUMIF('Jnls Mthly'!$A:$A,'TB Mnthly'!$A19,'Jnls Mthly'!AJ:AJ)</f>
        <v/>
      </c>
      <c r="AK19" s="687">
        <f>SUMIF('Jnls Mthly'!$A:$A,'TB Mnthly'!$A19,'Jnls Mthly'!AK:AK)</f>
        <v/>
      </c>
      <c r="AL19" s="687">
        <f>SUMIF('Jnls Mthly'!$A:$A,'TB Mnthly'!$A19,'Jnls Mthly'!AL:AL)</f>
        <v/>
      </c>
      <c r="AM19" s="687">
        <f>SUMIF('Jnls Mthly'!$A:$A,'TB Mnthly'!$A19,'Jnls Mthly'!AM:AM)</f>
        <v/>
      </c>
      <c r="AN19" s="687">
        <f>SUMIF('Jnls Mthly'!$A:$A,'TB Mnthly'!$A19,'Jnls Mthly'!AN:AN)</f>
        <v/>
      </c>
      <c r="AO19" s="687">
        <f>SUMIF('Jnls Mthly'!$A:$A,'TB Mnthly'!$A19,'Jnls Mthly'!AO:AO)</f>
        <v/>
      </c>
      <c r="AP19" s="687">
        <f>SUMIF('Jnls Mthly'!$A:$A,'TB Mnthly'!$A19,'Jnls Mthly'!AP:AP)</f>
        <v/>
      </c>
      <c r="AQ19" s="687">
        <f>SUMIF('Jnls Mthly'!$A:$A,'TB Mnthly'!$A19,'Jnls Mthly'!AQ:AQ)</f>
        <v/>
      </c>
      <c r="AR19" s="687">
        <f>SUM(AE19:AQ19)</f>
        <v/>
      </c>
      <c r="AS19" s="680" t="n"/>
      <c r="AT19" s="687">
        <f>SUMIF('Jnls Mthly'!$A:$A,'TB Mnthly'!$A19,'Jnls Mthly'!AT:AT)</f>
        <v/>
      </c>
      <c r="AU19" s="687">
        <f>SUMIF('Jnls Mthly'!$A:$A,'TB Mnthly'!$A19,'Jnls Mthly'!AU:AU)</f>
        <v/>
      </c>
      <c r="AV19" s="687">
        <f>SUMIF('Jnls Mthly'!$A:$A,'TB Mnthly'!$A19,'Jnls Mthly'!AV:AV)</f>
        <v/>
      </c>
      <c r="AW19" s="687">
        <f>SUMIF('Jnls Mthly'!$A:$A,'TB Mnthly'!$A19,'Jnls Mthly'!AW:AW)</f>
        <v/>
      </c>
      <c r="AX19" s="687">
        <f>SUMIF('Jnls Mthly'!$A:$A,'TB Mnthly'!$A19,'Jnls Mthly'!AX:AX)</f>
        <v/>
      </c>
      <c r="AY19" s="687">
        <f>SUMIF('Jnls Mthly'!$A:$A,'TB Mnthly'!$A19,'Jnls Mthly'!AY:AY)</f>
        <v/>
      </c>
      <c r="AZ19" s="687">
        <f>SUMIF('Jnls Mthly'!$A:$A,'TB Mnthly'!$A19,'Jnls Mthly'!AZ:AZ)</f>
        <v/>
      </c>
      <c r="BA19" s="687">
        <f>SUMIF('Jnls Mthly'!$A:$A,'TB Mnthly'!$A19,'Jnls Mthly'!BA:BA)</f>
        <v/>
      </c>
      <c r="BB19" s="687">
        <f>SUMIF('Jnls Mthly'!$A:$A,'TB Mnthly'!$A19,'Jnls Mthly'!BB:BB)</f>
        <v/>
      </c>
      <c r="BC19" s="687">
        <f>SUMIF('Jnls Mthly'!$A:$A,'TB Mnthly'!$A19,'Jnls Mthly'!BC:BC)</f>
        <v/>
      </c>
      <c r="BD19" s="687">
        <f>SUMIF('Jnls Mthly'!$A:$A,'TB Mnthly'!$A19,'Jnls Mthly'!BD:BD)</f>
        <v/>
      </c>
      <c r="BE19" s="687">
        <f>SUMIF('Jnls Mthly'!$A:$A,'TB Mnthly'!$A19,'Jnls Mthly'!BE:BE)</f>
        <v/>
      </c>
      <c r="BF19" s="687">
        <f>SUM(AS19:BE19)</f>
        <v/>
      </c>
      <c r="BH19" s="687">
        <f>SUMIF('Jnls Mthly'!$A:$A,'TB Mnthly'!$A19,'Jnls Mthly'!BH:BH)</f>
        <v/>
      </c>
      <c r="BI19" s="687">
        <f>SUMIF('Jnls Mthly'!$A:$A,'TB Mnthly'!$A19,'Jnls Mthly'!BI:BI)</f>
        <v/>
      </c>
      <c r="BJ19" s="687">
        <f>SUMIF('Jnls Mthly'!$A:$A,'TB Mnthly'!$A19,'Jnls Mthly'!BJ:BJ)</f>
        <v/>
      </c>
      <c r="BK19" s="687">
        <f>SUMIF('Jnls Mthly'!$A:$A,'TB Mnthly'!$A19,'Jnls Mthly'!BK:BK)</f>
        <v/>
      </c>
      <c r="BL19" s="687">
        <f>SUMIF('Jnls Mthly'!$A:$A,'TB Mnthly'!$A19,'Jnls Mthly'!BL:BL)</f>
        <v/>
      </c>
      <c r="BM19" s="687">
        <f>SUMIF('Jnls Mthly'!$A:$A,'TB Mnthly'!$A19,'Jnls Mthly'!BM:BM)</f>
        <v/>
      </c>
      <c r="BN19" s="687">
        <f>SUMIF('Jnls Mthly'!$A:$A,'TB Mnthly'!$A19,'Jnls Mthly'!BN:BN)</f>
        <v/>
      </c>
      <c r="BO19" s="687">
        <f>SUMIF('Jnls Mthly'!$A:$A,'TB Mnthly'!$A19,'Jnls Mthly'!BO:BO)</f>
        <v/>
      </c>
      <c r="BP19" s="687">
        <f>SUMIF('Jnls Mthly'!$A:$A,'TB Mnthly'!$A19,'Jnls Mthly'!BP:BP)</f>
        <v/>
      </c>
      <c r="BQ19" s="687">
        <f>SUMIF('Jnls Mthly'!$A:$A,'TB Mnthly'!$A19,'Jnls Mthly'!BQ:BQ)</f>
        <v/>
      </c>
      <c r="BR19" s="687">
        <f>SUMIF('Jnls Mthly'!$A:$A,'TB Mnthly'!$A19,'Jnls Mthly'!BR:BR)</f>
        <v/>
      </c>
      <c r="BS19" s="687">
        <f>SUMIF('Jnls Mthly'!$A:$A,'TB Mnthly'!$A19,'Jnls Mthly'!BS:BS)</f>
        <v/>
      </c>
      <c r="BT19" s="687">
        <f>SUM(BG19:BS19)</f>
        <v/>
      </c>
    </row>
    <row r="20">
      <c r="A20" s="497" t="inlineStr">
        <is>
          <t>Customer Service</t>
        </is>
      </c>
      <c r="C20" s="687">
        <f>SUMIF('Jnls Mthly'!$A:$A,'TB Mnthly'!$A20,'Jnls Mthly'!C:C)</f>
        <v/>
      </c>
      <c r="D20" s="687">
        <f>SUMIF('Jnls Mthly'!$A:$A,'TB Mnthly'!$A20,'Jnls Mthly'!D:D)</f>
        <v/>
      </c>
      <c r="E20" s="687">
        <f>SUMIF('Jnls Mthly'!$A:$A,'TB Mnthly'!$A20,'Jnls Mthly'!E:E)</f>
        <v/>
      </c>
      <c r="F20" s="687">
        <f>SUMIF('Jnls Mthly'!$A:$A,'TB Mnthly'!$A20,'Jnls Mthly'!F:F)</f>
        <v/>
      </c>
      <c r="G20" s="687">
        <f>SUMIF('Jnls Mthly'!$A:$A,'TB Mnthly'!$A20,'Jnls Mthly'!G:G)</f>
        <v/>
      </c>
      <c r="H20" s="687">
        <f>SUMIF('Jnls Mthly'!$A:$A,'TB Mnthly'!$A20,'Jnls Mthly'!H:H)</f>
        <v/>
      </c>
      <c r="I20" s="687">
        <f>SUMIF('Jnls Mthly'!$A:$A,'TB Mnthly'!$A20,'Jnls Mthly'!I:I)</f>
        <v/>
      </c>
      <c r="J20" s="687">
        <f>SUMIF('Jnls Mthly'!$A:$A,'TB Mnthly'!$A20,'Jnls Mthly'!J:J)</f>
        <v/>
      </c>
      <c r="K20" s="687">
        <f>SUMIF('Jnls Mthly'!$A:$A,'TB Mnthly'!$A20,'Jnls Mthly'!K:K)</f>
        <v/>
      </c>
      <c r="L20" s="687">
        <f>SUMIF('Jnls Mthly'!$A:$A,'TB Mnthly'!$A20,'Jnls Mthly'!L:L)</f>
        <v/>
      </c>
      <c r="M20" s="687">
        <f>SUMIF('Jnls Mthly'!$A:$A,'TB Mnthly'!$A20,'Jnls Mthly'!M:M)</f>
        <v/>
      </c>
      <c r="N20" s="687">
        <f>SUMIF('Jnls Mthly'!$A:$A,'TB Mnthly'!$A20,'Jnls Mthly'!N:N)</f>
        <v/>
      </c>
      <c r="O20" s="687">
        <f>SUMIF('Jnls Mthly'!$A:$A,'TB Mnthly'!$A20,'Jnls Mthly'!O:O)</f>
        <v/>
      </c>
      <c r="P20" s="687">
        <f>SUM(C20:O20)</f>
        <v/>
      </c>
      <c r="Q20" s="680" t="n"/>
      <c r="R20" s="687">
        <f>SUMIF('Jnls Mthly'!$A:$A,'TB Mnthly'!$A20,'Jnls Mthly'!R:R)</f>
        <v/>
      </c>
      <c r="S20" s="687">
        <f>SUMIF('Jnls Mthly'!$A:$A,'TB Mnthly'!$A20,'Jnls Mthly'!S:S)</f>
        <v/>
      </c>
      <c r="T20" s="687">
        <f>SUMIF('Jnls Mthly'!$A:$A,'TB Mnthly'!$A20,'Jnls Mthly'!T:T)</f>
        <v/>
      </c>
      <c r="U20" s="687">
        <f>SUMIF('Jnls Mthly'!$A:$A,'TB Mnthly'!$A20,'Jnls Mthly'!U:U)</f>
        <v/>
      </c>
      <c r="V20" s="687">
        <f>SUMIF('Jnls Mthly'!$A:$A,'TB Mnthly'!$A20,'Jnls Mthly'!V:V)</f>
        <v/>
      </c>
      <c r="W20" s="687">
        <f>SUMIF('Jnls Mthly'!$A:$A,'TB Mnthly'!$A20,'Jnls Mthly'!W:W)</f>
        <v/>
      </c>
      <c r="X20" s="687">
        <f>SUMIF('Jnls Mthly'!$A:$A,'TB Mnthly'!$A20,'Jnls Mthly'!X:X)</f>
        <v/>
      </c>
      <c r="Y20" s="687">
        <f>SUMIF('Jnls Mthly'!$A:$A,'TB Mnthly'!$A20,'Jnls Mthly'!Y:Y)</f>
        <v/>
      </c>
      <c r="Z20" s="687">
        <f>SUMIF('Jnls Mthly'!$A:$A,'TB Mnthly'!$A20,'Jnls Mthly'!Z:Z)</f>
        <v/>
      </c>
      <c r="AA20" s="687">
        <f>SUMIF('Jnls Mthly'!$A:$A,'TB Mnthly'!$A20,'Jnls Mthly'!AA:AA)</f>
        <v/>
      </c>
      <c r="AB20" s="687">
        <f>SUMIF('Jnls Mthly'!$A:$A,'TB Mnthly'!$A20,'Jnls Mthly'!AB:AB)</f>
        <v/>
      </c>
      <c r="AC20" s="687">
        <f>SUMIF('Jnls Mthly'!$A:$A,'TB Mnthly'!$A20,'Jnls Mthly'!AC:AC)</f>
        <v/>
      </c>
      <c r="AD20" s="687">
        <f>SUM(Q20:AC20)</f>
        <v/>
      </c>
      <c r="AE20" s="680" t="n"/>
      <c r="AF20" s="687">
        <f>SUMIF('Jnls Mthly'!$A:$A,'TB Mnthly'!$A20,'Jnls Mthly'!AF:AF)</f>
        <v/>
      </c>
      <c r="AG20" s="687">
        <f>SUMIF('Jnls Mthly'!$A:$A,'TB Mnthly'!$A20,'Jnls Mthly'!AG:AG)</f>
        <v/>
      </c>
      <c r="AH20" s="687">
        <f>SUMIF('Jnls Mthly'!$A:$A,'TB Mnthly'!$A20,'Jnls Mthly'!AH:AH)</f>
        <v/>
      </c>
      <c r="AI20" s="687">
        <f>SUMIF('Jnls Mthly'!$A:$A,'TB Mnthly'!$A20,'Jnls Mthly'!AI:AI)</f>
        <v/>
      </c>
      <c r="AJ20" s="687">
        <f>SUMIF('Jnls Mthly'!$A:$A,'TB Mnthly'!$A20,'Jnls Mthly'!AJ:AJ)</f>
        <v/>
      </c>
      <c r="AK20" s="687">
        <f>SUMIF('Jnls Mthly'!$A:$A,'TB Mnthly'!$A20,'Jnls Mthly'!AK:AK)</f>
        <v/>
      </c>
      <c r="AL20" s="687">
        <f>SUMIF('Jnls Mthly'!$A:$A,'TB Mnthly'!$A20,'Jnls Mthly'!AL:AL)</f>
        <v/>
      </c>
      <c r="AM20" s="687">
        <f>SUMIF('Jnls Mthly'!$A:$A,'TB Mnthly'!$A20,'Jnls Mthly'!AM:AM)</f>
        <v/>
      </c>
      <c r="AN20" s="687">
        <f>SUMIF('Jnls Mthly'!$A:$A,'TB Mnthly'!$A20,'Jnls Mthly'!AN:AN)</f>
        <v/>
      </c>
      <c r="AO20" s="687">
        <f>SUMIF('Jnls Mthly'!$A:$A,'TB Mnthly'!$A20,'Jnls Mthly'!AO:AO)</f>
        <v/>
      </c>
      <c r="AP20" s="687">
        <f>SUMIF('Jnls Mthly'!$A:$A,'TB Mnthly'!$A20,'Jnls Mthly'!AP:AP)</f>
        <v/>
      </c>
      <c r="AQ20" s="687">
        <f>SUMIF('Jnls Mthly'!$A:$A,'TB Mnthly'!$A20,'Jnls Mthly'!AQ:AQ)</f>
        <v/>
      </c>
      <c r="AR20" s="687">
        <f>SUM(AE20:AQ20)</f>
        <v/>
      </c>
      <c r="AS20" s="680" t="n"/>
      <c r="AT20" s="687">
        <f>SUMIF('Jnls Mthly'!$A:$A,'TB Mnthly'!$A20,'Jnls Mthly'!AT:AT)</f>
        <v/>
      </c>
      <c r="AU20" s="687">
        <f>SUMIF('Jnls Mthly'!$A:$A,'TB Mnthly'!$A20,'Jnls Mthly'!AU:AU)</f>
        <v/>
      </c>
      <c r="AV20" s="687">
        <f>SUMIF('Jnls Mthly'!$A:$A,'TB Mnthly'!$A20,'Jnls Mthly'!AV:AV)</f>
        <v/>
      </c>
      <c r="AW20" s="687">
        <f>SUMIF('Jnls Mthly'!$A:$A,'TB Mnthly'!$A20,'Jnls Mthly'!AW:AW)</f>
        <v/>
      </c>
      <c r="AX20" s="687">
        <f>SUMIF('Jnls Mthly'!$A:$A,'TB Mnthly'!$A20,'Jnls Mthly'!AX:AX)</f>
        <v/>
      </c>
      <c r="AY20" s="687">
        <f>SUMIF('Jnls Mthly'!$A:$A,'TB Mnthly'!$A20,'Jnls Mthly'!AY:AY)</f>
        <v/>
      </c>
      <c r="AZ20" s="687">
        <f>SUMIF('Jnls Mthly'!$A:$A,'TB Mnthly'!$A20,'Jnls Mthly'!AZ:AZ)</f>
        <v/>
      </c>
      <c r="BA20" s="687">
        <f>SUMIF('Jnls Mthly'!$A:$A,'TB Mnthly'!$A20,'Jnls Mthly'!BA:BA)</f>
        <v/>
      </c>
      <c r="BB20" s="687">
        <f>SUMIF('Jnls Mthly'!$A:$A,'TB Mnthly'!$A20,'Jnls Mthly'!BB:BB)</f>
        <v/>
      </c>
      <c r="BC20" s="687">
        <f>SUMIF('Jnls Mthly'!$A:$A,'TB Mnthly'!$A20,'Jnls Mthly'!BC:BC)</f>
        <v/>
      </c>
      <c r="BD20" s="687">
        <f>SUMIF('Jnls Mthly'!$A:$A,'TB Mnthly'!$A20,'Jnls Mthly'!BD:BD)</f>
        <v/>
      </c>
      <c r="BE20" s="687">
        <f>SUMIF('Jnls Mthly'!$A:$A,'TB Mnthly'!$A20,'Jnls Mthly'!BE:BE)</f>
        <v/>
      </c>
      <c r="BF20" s="687">
        <f>SUM(AS20:BE20)</f>
        <v/>
      </c>
      <c r="BH20" s="687">
        <f>SUMIF('Jnls Mthly'!$A:$A,'TB Mnthly'!$A20,'Jnls Mthly'!BH:BH)</f>
        <v/>
      </c>
      <c r="BI20" s="687">
        <f>SUMIF('Jnls Mthly'!$A:$A,'TB Mnthly'!$A20,'Jnls Mthly'!BI:BI)</f>
        <v/>
      </c>
      <c r="BJ20" s="687">
        <f>SUMIF('Jnls Mthly'!$A:$A,'TB Mnthly'!$A20,'Jnls Mthly'!BJ:BJ)</f>
        <v/>
      </c>
      <c r="BK20" s="687">
        <f>SUMIF('Jnls Mthly'!$A:$A,'TB Mnthly'!$A20,'Jnls Mthly'!BK:BK)</f>
        <v/>
      </c>
      <c r="BL20" s="687">
        <f>SUMIF('Jnls Mthly'!$A:$A,'TB Mnthly'!$A20,'Jnls Mthly'!BL:BL)</f>
        <v/>
      </c>
      <c r="BM20" s="687">
        <f>SUMIF('Jnls Mthly'!$A:$A,'TB Mnthly'!$A20,'Jnls Mthly'!BM:BM)</f>
        <v/>
      </c>
      <c r="BN20" s="687">
        <f>SUMIF('Jnls Mthly'!$A:$A,'TB Mnthly'!$A20,'Jnls Mthly'!BN:BN)</f>
        <v/>
      </c>
      <c r="BO20" s="687">
        <f>SUMIF('Jnls Mthly'!$A:$A,'TB Mnthly'!$A20,'Jnls Mthly'!BO:BO)</f>
        <v/>
      </c>
      <c r="BP20" s="687">
        <f>SUMIF('Jnls Mthly'!$A:$A,'TB Mnthly'!$A20,'Jnls Mthly'!BP:BP)</f>
        <v/>
      </c>
      <c r="BQ20" s="687">
        <f>SUMIF('Jnls Mthly'!$A:$A,'TB Mnthly'!$A20,'Jnls Mthly'!BQ:BQ)</f>
        <v/>
      </c>
      <c r="BR20" s="687">
        <f>SUMIF('Jnls Mthly'!$A:$A,'TB Mnthly'!$A20,'Jnls Mthly'!BR:BR)</f>
        <v/>
      </c>
      <c r="BS20" s="687">
        <f>SUMIF('Jnls Mthly'!$A:$A,'TB Mnthly'!$A20,'Jnls Mthly'!BS:BS)</f>
        <v/>
      </c>
      <c r="BT20" s="687">
        <f>SUM(BG20:BS20)</f>
        <v/>
      </c>
    </row>
    <row r="21">
      <c r="A21" s="497" t="inlineStr">
        <is>
          <t>Salaries</t>
        </is>
      </c>
      <c r="C21" s="687">
        <f>SUMIF('Jnls Mthly'!$A:$A,'TB Mnthly'!$A21,'Jnls Mthly'!C:C)</f>
        <v/>
      </c>
      <c r="D21" s="687">
        <f>SUMIF('Jnls Mthly'!$A:$A,'TB Mnthly'!$A21,'Jnls Mthly'!D:D)</f>
        <v/>
      </c>
      <c r="E21" s="687">
        <f>SUMIF('Jnls Mthly'!$A:$A,'TB Mnthly'!$A21,'Jnls Mthly'!E:E)</f>
        <v/>
      </c>
      <c r="F21" s="687">
        <f>SUMIF('Jnls Mthly'!$A:$A,'TB Mnthly'!$A21,'Jnls Mthly'!F:F)</f>
        <v/>
      </c>
      <c r="G21" s="687">
        <f>SUMIF('Jnls Mthly'!$A:$A,'TB Mnthly'!$A21,'Jnls Mthly'!G:G)</f>
        <v/>
      </c>
      <c r="H21" s="687">
        <f>SUMIF('Jnls Mthly'!$A:$A,'TB Mnthly'!$A21,'Jnls Mthly'!H:H)</f>
        <v/>
      </c>
      <c r="I21" s="687">
        <f>SUMIF('Jnls Mthly'!$A:$A,'TB Mnthly'!$A21,'Jnls Mthly'!I:I)</f>
        <v/>
      </c>
      <c r="J21" s="687">
        <f>SUMIF('Jnls Mthly'!$A:$A,'TB Mnthly'!$A21,'Jnls Mthly'!J:J)</f>
        <v/>
      </c>
      <c r="K21" s="687">
        <f>SUMIF('Jnls Mthly'!$A:$A,'TB Mnthly'!$A21,'Jnls Mthly'!K:K)</f>
        <v/>
      </c>
      <c r="L21" s="687">
        <f>SUMIF('Jnls Mthly'!$A:$A,'TB Mnthly'!$A21,'Jnls Mthly'!L:L)</f>
        <v/>
      </c>
      <c r="M21" s="687">
        <f>SUMIF('Jnls Mthly'!$A:$A,'TB Mnthly'!$A21,'Jnls Mthly'!M:M)</f>
        <v/>
      </c>
      <c r="N21" s="687">
        <f>SUMIF('Jnls Mthly'!$A:$A,'TB Mnthly'!$A21,'Jnls Mthly'!N:N)</f>
        <v/>
      </c>
      <c r="O21" s="687">
        <f>SUMIF('Jnls Mthly'!$A:$A,'TB Mnthly'!$A21,'Jnls Mthly'!O:O)</f>
        <v/>
      </c>
      <c r="P21" s="687">
        <f>SUM(C21:O21)</f>
        <v/>
      </c>
      <c r="Q21" s="680" t="n"/>
      <c r="R21" s="687">
        <f>SUMIF('Jnls Mthly'!$A:$A,'TB Mnthly'!$A21,'Jnls Mthly'!R:R)</f>
        <v/>
      </c>
      <c r="S21" s="687">
        <f>SUMIF('Jnls Mthly'!$A:$A,'TB Mnthly'!$A21,'Jnls Mthly'!S:S)</f>
        <v/>
      </c>
      <c r="T21" s="687">
        <f>SUMIF('Jnls Mthly'!$A:$A,'TB Mnthly'!$A21,'Jnls Mthly'!T:T)</f>
        <v/>
      </c>
      <c r="U21" s="687">
        <f>SUMIF('Jnls Mthly'!$A:$A,'TB Mnthly'!$A21,'Jnls Mthly'!U:U)</f>
        <v/>
      </c>
      <c r="V21" s="687">
        <f>SUMIF('Jnls Mthly'!$A:$A,'TB Mnthly'!$A21,'Jnls Mthly'!V:V)</f>
        <v/>
      </c>
      <c r="W21" s="687">
        <f>SUMIF('Jnls Mthly'!$A:$A,'TB Mnthly'!$A21,'Jnls Mthly'!W:W)</f>
        <v/>
      </c>
      <c r="X21" s="687">
        <f>SUMIF('Jnls Mthly'!$A:$A,'TB Mnthly'!$A21,'Jnls Mthly'!X:X)</f>
        <v/>
      </c>
      <c r="Y21" s="687">
        <f>SUMIF('Jnls Mthly'!$A:$A,'TB Mnthly'!$A21,'Jnls Mthly'!Y:Y)</f>
        <v/>
      </c>
      <c r="Z21" s="687">
        <f>SUMIF('Jnls Mthly'!$A:$A,'TB Mnthly'!$A21,'Jnls Mthly'!Z:Z)</f>
        <v/>
      </c>
      <c r="AA21" s="687">
        <f>SUMIF('Jnls Mthly'!$A:$A,'TB Mnthly'!$A21,'Jnls Mthly'!AA:AA)</f>
        <v/>
      </c>
      <c r="AB21" s="687">
        <f>SUMIF('Jnls Mthly'!$A:$A,'TB Mnthly'!$A21,'Jnls Mthly'!AB:AB)</f>
        <v/>
      </c>
      <c r="AC21" s="687">
        <f>SUMIF('Jnls Mthly'!$A:$A,'TB Mnthly'!$A21,'Jnls Mthly'!AC:AC)</f>
        <v/>
      </c>
      <c r="AD21" s="687">
        <f>SUM(Q21:AC21)</f>
        <v/>
      </c>
      <c r="AE21" s="680" t="n"/>
      <c r="AF21" s="687">
        <f>SUMIF('Jnls Mthly'!$A:$A,'TB Mnthly'!$A21,'Jnls Mthly'!AF:AF)</f>
        <v/>
      </c>
      <c r="AG21" s="687">
        <f>SUMIF('Jnls Mthly'!$A:$A,'TB Mnthly'!$A21,'Jnls Mthly'!AG:AG)</f>
        <v/>
      </c>
      <c r="AH21" s="687">
        <f>SUMIF('Jnls Mthly'!$A:$A,'TB Mnthly'!$A21,'Jnls Mthly'!AH:AH)</f>
        <v/>
      </c>
      <c r="AI21" s="687">
        <f>SUMIF('Jnls Mthly'!$A:$A,'TB Mnthly'!$A21,'Jnls Mthly'!AI:AI)</f>
        <v/>
      </c>
      <c r="AJ21" s="687">
        <f>SUMIF('Jnls Mthly'!$A:$A,'TB Mnthly'!$A21,'Jnls Mthly'!AJ:AJ)</f>
        <v/>
      </c>
      <c r="AK21" s="687">
        <f>SUMIF('Jnls Mthly'!$A:$A,'TB Mnthly'!$A21,'Jnls Mthly'!AK:AK)</f>
        <v/>
      </c>
      <c r="AL21" s="687">
        <f>SUMIF('Jnls Mthly'!$A:$A,'TB Mnthly'!$A21,'Jnls Mthly'!AL:AL)</f>
        <v/>
      </c>
      <c r="AM21" s="687">
        <f>SUMIF('Jnls Mthly'!$A:$A,'TB Mnthly'!$A21,'Jnls Mthly'!AM:AM)</f>
        <v/>
      </c>
      <c r="AN21" s="687">
        <f>SUMIF('Jnls Mthly'!$A:$A,'TB Mnthly'!$A21,'Jnls Mthly'!AN:AN)</f>
        <v/>
      </c>
      <c r="AO21" s="687">
        <f>SUMIF('Jnls Mthly'!$A:$A,'TB Mnthly'!$A21,'Jnls Mthly'!AO:AO)</f>
        <v/>
      </c>
      <c r="AP21" s="687">
        <f>SUMIF('Jnls Mthly'!$A:$A,'TB Mnthly'!$A21,'Jnls Mthly'!AP:AP)</f>
        <v/>
      </c>
      <c r="AQ21" s="687">
        <f>SUMIF('Jnls Mthly'!$A:$A,'TB Mnthly'!$A21,'Jnls Mthly'!AQ:AQ)</f>
        <v/>
      </c>
      <c r="AR21" s="687">
        <f>SUM(AE21:AQ21)</f>
        <v/>
      </c>
      <c r="AS21" s="680" t="n"/>
      <c r="AT21" s="687">
        <f>SUMIF('Jnls Mthly'!$A:$A,'TB Mnthly'!$A21,'Jnls Mthly'!AT:AT)</f>
        <v/>
      </c>
      <c r="AU21" s="687">
        <f>SUMIF('Jnls Mthly'!$A:$A,'TB Mnthly'!$A21,'Jnls Mthly'!AU:AU)</f>
        <v/>
      </c>
      <c r="AV21" s="687">
        <f>SUMIF('Jnls Mthly'!$A:$A,'TB Mnthly'!$A21,'Jnls Mthly'!AV:AV)</f>
        <v/>
      </c>
      <c r="AW21" s="687">
        <f>SUMIF('Jnls Mthly'!$A:$A,'TB Mnthly'!$A21,'Jnls Mthly'!AW:AW)</f>
        <v/>
      </c>
      <c r="AX21" s="687">
        <f>SUMIF('Jnls Mthly'!$A:$A,'TB Mnthly'!$A21,'Jnls Mthly'!AX:AX)</f>
        <v/>
      </c>
      <c r="AY21" s="687">
        <f>SUMIF('Jnls Mthly'!$A:$A,'TB Mnthly'!$A21,'Jnls Mthly'!AY:AY)</f>
        <v/>
      </c>
      <c r="AZ21" s="687">
        <f>SUMIF('Jnls Mthly'!$A:$A,'TB Mnthly'!$A21,'Jnls Mthly'!AZ:AZ)</f>
        <v/>
      </c>
      <c r="BA21" s="687">
        <f>SUMIF('Jnls Mthly'!$A:$A,'TB Mnthly'!$A21,'Jnls Mthly'!BA:BA)</f>
        <v/>
      </c>
      <c r="BB21" s="687">
        <f>SUMIF('Jnls Mthly'!$A:$A,'TB Mnthly'!$A21,'Jnls Mthly'!BB:BB)</f>
        <v/>
      </c>
      <c r="BC21" s="687">
        <f>SUMIF('Jnls Mthly'!$A:$A,'TB Mnthly'!$A21,'Jnls Mthly'!BC:BC)</f>
        <v/>
      </c>
      <c r="BD21" s="687">
        <f>SUMIF('Jnls Mthly'!$A:$A,'TB Mnthly'!$A21,'Jnls Mthly'!BD:BD)</f>
        <v/>
      </c>
      <c r="BE21" s="687">
        <f>SUMIF('Jnls Mthly'!$A:$A,'TB Mnthly'!$A21,'Jnls Mthly'!BE:BE)</f>
        <v/>
      </c>
      <c r="BF21" s="687">
        <f>SUM(AS21:BE21)</f>
        <v/>
      </c>
      <c r="BH21" s="687">
        <f>SUMIF('Jnls Mthly'!$A:$A,'TB Mnthly'!$A21,'Jnls Mthly'!BH:BH)</f>
        <v/>
      </c>
      <c r="BI21" s="687">
        <f>SUMIF('Jnls Mthly'!$A:$A,'TB Mnthly'!$A21,'Jnls Mthly'!BI:BI)</f>
        <v/>
      </c>
      <c r="BJ21" s="687">
        <f>SUMIF('Jnls Mthly'!$A:$A,'TB Mnthly'!$A21,'Jnls Mthly'!BJ:BJ)</f>
        <v/>
      </c>
      <c r="BK21" s="687">
        <f>SUMIF('Jnls Mthly'!$A:$A,'TB Mnthly'!$A21,'Jnls Mthly'!BK:BK)</f>
        <v/>
      </c>
      <c r="BL21" s="687">
        <f>SUMIF('Jnls Mthly'!$A:$A,'TB Mnthly'!$A21,'Jnls Mthly'!BL:BL)</f>
        <v/>
      </c>
      <c r="BM21" s="687">
        <f>SUMIF('Jnls Mthly'!$A:$A,'TB Mnthly'!$A21,'Jnls Mthly'!BM:BM)</f>
        <v/>
      </c>
      <c r="BN21" s="687">
        <f>SUMIF('Jnls Mthly'!$A:$A,'TB Mnthly'!$A21,'Jnls Mthly'!BN:BN)</f>
        <v/>
      </c>
      <c r="BO21" s="687">
        <f>SUMIF('Jnls Mthly'!$A:$A,'TB Mnthly'!$A21,'Jnls Mthly'!BO:BO)</f>
        <v/>
      </c>
      <c r="BP21" s="687">
        <f>SUMIF('Jnls Mthly'!$A:$A,'TB Mnthly'!$A21,'Jnls Mthly'!BP:BP)</f>
        <v/>
      </c>
      <c r="BQ21" s="687">
        <f>SUMIF('Jnls Mthly'!$A:$A,'TB Mnthly'!$A21,'Jnls Mthly'!BQ:BQ)</f>
        <v/>
      </c>
      <c r="BR21" s="687">
        <f>SUMIF('Jnls Mthly'!$A:$A,'TB Mnthly'!$A21,'Jnls Mthly'!BR:BR)</f>
        <v/>
      </c>
      <c r="BS21" s="687">
        <f>SUMIF('Jnls Mthly'!$A:$A,'TB Mnthly'!$A21,'Jnls Mthly'!BS:BS)</f>
        <v/>
      </c>
      <c r="BT21" s="687">
        <f>SUM(BG21:BS21)</f>
        <v/>
      </c>
    </row>
    <row r="22">
      <c r="A22" s="497" t="inlineStr">
        <is>
          <t>Office Rent</t>
        </is>
      </c>
      <c r="C22" s="687">
        <f>SUMIF('Jnls Mthly'!$A:$A,'TB Mnthly'!$A22,'Jnls Mthly'!C:C)</f>
        <v/>
      </c>
      <c r="D22" s="687">
        <f>SUMIF('Jnls Mthly'!$A:$A,'TB Mnthly'!$A22,'Jnls Mthly'!D:D)</f>
        <v/>
      </c>
      <c r="E22" s="687">
        <f>SUMIF('Jnls Mthly'!$A:$A,'TB Mnthly'!$A22,'Jnls Mthly'!E:E)</f>
        <v/>
      </c>
      <c r="F22" s="687">
        <f>SUMIF('Jnls Mthly'!$A:$A,'TB Mnthly'!$A22,'Jnls Mthly'!F:F)</f>
        <v/>
      </c>
      <c r="G22" s="687">
        <f>SUMIF('Jnls Mthly'!$A:$A,'TB Mnthly'!$A22,'Jnls Mthly'!G:G)</f>
        <v/>
      </c>
      <c r="H22" s="687">
        <f>SUMIF('Jnls Mthly'!$A:$A,'TB Mnthly'!$A22,'Jnls Mthly'!H:H)</f>
        <v/>
      </c>
      <c r="I22" s="687">
        <f>SUMIF('Jnls Mthly'!$A:$A,'TB Mnthly'!$A22,'Jnls Mthly'!I:I)</f>
        <v/>
      </c>
      <c r="J22" s="687">
        <f>SUMIF('Jnls Mthly'!$A:$A,'TB Mnthly'!$A22,'Jnls Mthly'!J:J)</f>
        <v/>
      </c>
      <c r="K22" s="687">
        <f>SUMIF('Jnls Mthly'!$A:$A,'TB Mnthly'!$A22,'Jnls Mthly'!K:K)</f>
        <v/>
      </c>
      <c r="L22" s="687">
        <f>SUMIF('Jnls Mthly'!$A:$A,'TB Mnthly'!$A22,'Jnls Mthly'!L:L)</f>
        <v/>
      </c>
      <c r="M22" s="687">
        <f>SUMIF('Jnls Mthly'!$A:$A,'TB Mnthly'!$A22,'Jnls Mthly'!M:M)</f>
        <v/>
      </c>
      <c r="N22" s="687">
        <f>SUMIF('Jnls Mthly'!$A:$A,'TB Mnthly'!$A22,'Jnls Mthly'!N:N)</f>
        <v/>
      </c>
      <c r="O22" s="687">
        <f>SUMIF('Jnls Mthly'!$A:$A,'TB Mnthly'!$A22,'Jnls Mthly'!O:O)</f>
        <v/>
      </c>
      <c r="P22" s="687">
        <f>SUM(C22:O22)</f>
        <v/>
      </c>
      <c r="Q22" s="680" t="n"/>
      <c r="R22" s="687">
        <f>SUMIF('Jnls Mthly'!$A:$A,'TB Mnthly'!$A22,'Jnls Mthly'!R:R)</f>
        <v/>
      </c>
      <c r="S22" s="687">
        <f>SUMIF('Jnls Mthly'!$A:$A,'TB Mnthly'!$A22,'Jnls Mthly'!S:S)</f>
        <v/>
      </c>
      <c r="T22" s="687">
        <f>SUMIF('Jnls Mthly'!$A:$A,'TB Mnthly'!$A22,'Jnls Mthly'!T:T)</f>
        <v/>
      </c>
      <c r="U22" s="687">
        <f>SUMIF('Jnls Mthly'!$A:$A,'TB Mnthly'!$A22,'Jnls Mthly'!U:U)</f>
        <v/>
      </c>
      <c r="V22" s="687">
        <f>SUMIF('Jnls Mthly'!$A:$A,'TB Mnthly'!$A22,'Jnls Mthly'!V:V)</f>
        <v/>
      </c>
      <c r="W22" s="687">
        <f>SUMIF('Jnls Mthly'!$A:$A,'TB Mnthly'!$A22,'Jnls Mthly'!W:W)</f>
        <v/>
      </c>
      <c r="X22" s="687">
        <f>SUMIF('Jnls Mthly'!$A:$A,'TB Mnthly'!$A22,'Jnls Mthly'!X:X)</f>
        <v/>
      </c>
      <c r="Y22" s="687">
        <f>SUMIF('Jnls Mthly'!$A:$A,'TB Mnthly'!$A22,'Jnls Mthly'!Y:Y)</f>
        <v/>
      </c>
      <c r="Z22" s="687">
        <f>SUMIF('Jnls Mthly'!$A:$A,'TB Mnthly'!$A22,'Jnls Mthly'!Z:Z)</f>
        <v/>
      </c>
      <c r="AA22" s="687">
        <f>SUMIF('Jnls Mthly'!$A:$A,'TB Mnthly'!$A22,'Jnls Mthly'!AA:AA)</f>
        <v/>
      </c>
      <c r="AB22" s="687">
        <f>SUMIF('Jnls Mthly'!$A:$A,'TB Mnthly'!$A22,'Jnls Mthly'!AB:AB)</f>
        <v/>
      </c>
      <c r="AC22" s="687">
        <f>SUMIF('Jnls Mthly'!$A:$A,'TB Mnthly'!$A22,'Jnls Mthly'!AC:AC)</f>
        <v/>
      </c>
      <c r="AD22" s="687">
        <f>SUM(Q22:AC22)</f>
        <v/>
      </c>
      <c r="AE22" s="680" t="n"/>
      <c r="AF22" s="687">
        <f>SUMIF('Jnls Mthly'!$A:$A,'TB Mnthly'!$A22,'Jnls Mthly'!AF:AF)</f>
        <v/>
      </c>
      <c r="AG22" s="687">
        <f>SUMIF('Jnls Mthly'!$A:$A,'TB Mnthly'!$A22,'Jnls Mthly'!AG:AG)</f>
        <v/>
      </c>
      <c r="AH22" s="687">
        <f>SUMIF('Jnls Mthly'!$A:$A,'TB Mnthly'!$A22,'Jnls Mthly'!AH:AH)</f>
        <v/>
      </c>
      <c r="AI22" s="687">
        <f>SUMIF('Jnls Mthly'!$A:$A,'TB Mnthly'!$A22,'Jnls Mthly'!AI:AI)</f>
        <v/>
      </c>
      <c r="AJ22" s="687">
        <f>SUMIF('Jnls Mthly'!$A:$A,'TB Mnthly'!$A22,'Jnls Mthly'!AJ:AJ)</f>
        <v/>
      </c>
      <c r="AK22" s="687">
        <f>SUMIF('Jnls Mthly'!$A:$A,'TB Mnthly'!$A22,'Jnls Mthly'!AK:AK)</f>
        <v/>
      </c>
      <c r="AL22" s="687">
        <f>SUMIF('Jnls Mthly'!$A:$A,'TB Mnthly'!$A22,'Jnls Mthly'!AL:AL)</f>
        <v/>
      </c>
      <c r="AM22" s="687">
        <f>SUMIF('Jnls Mthly'!$A:$A,'TB Mnthly'!$A22,'Jnls Mthly'!AM:AM)</f>
        <v/>
      </c>
      <c r="AN22" s="687">
        <f>SUMIF('Jnls Mthly'!$A:$A,'TB Mnthly'!$A22,'Jnls Mthly'!AN:AN)</f>
        <v/>
      </c>
      <c r="AO22" s="687">
        <f>SUMIF('Jnls Mthly'!$A:$A,'TB Mnthly'!$A22,'Jnls Mthly'!AO:AO)</f>
        <v/>
      </c>
      <c r="AP22" s="687">
        <f>SUMIF('Jnls Mthly'!$A:$A,'TB Mnthly'!$A22,'Jnls Mthly'!AP:AP)</f>
        <v/>
      </c>
      <c r="AQ22" s="687">
        <f>SUMIF('Jnls Mthly'!$A:$A,'TB Mnthly'!$A22,'Jnls Mthly'!AQ:AQ)</f>
        <v/>
      </c>
      <c r="AR22" s="687">
        <f>SUM(AE22:AQ22)</f>
        <v/>
      </c>
      <c r="AS22" s="680" t="n"/>
      <c r="AT22" s="687">
        <f>SUMIF('Jnls Mthly'!$A:$A,'TB Mnthly'!$A22,'Jnls Mthly'!AT:AT)</f>
        <v/>
      </c>
      <c r="AU22" s="687">
        <f>SUMIF('Jnls Mthly'!$A:$A,'TB Mnthly'!$A22,'Jnls Mthly'!AU:AU)</f>
        <v/>
      </c>
      <c r="AV22" s="687">
        <f>SUMIF('Jnls Mthly'!$A:$A,'TB Mnthly'!$A22,'Jnls Mthly'!AV:AV)</f>
        <v/>
      </c>
      <c r="AW22" s="687">
        <f>SUMIF('Jnls Mthly'!$A:$A,'TB Mnthly'!$A22,'Jnls Mthly'!AW:AW)</f>
        <v/>
      </c>
      <c r="AX22" s="687">
        <f>SUMIF('Jnls Mthly'!$A:$A,'TB Mnthly'!$A22,'Jnls Mthly'!AX:AX)</f>
        <v/>
      </c>
      <c r="AY22" s="687">
        <f>SUMIF('Jnls Mthly'!$A:$A,'TB Mnthly'!$A22,'Jnls Mthly'!AY:AY)</f>
        <v/>
      </c>
      <c r="AZ22" s="687">
        <f>SUMIF('Jnls Mthly'!$A:$A,'TB Mnthly'!$A22,'Jnls Mthly'!AZ:AZ)</f>
        <v/>
      </c>
      <c r="BA22" s="687">
        <f>SUMIF('Jnls Mthly'!$A:$A,'TB Mnthly'!$A22,'Jnls Mthly'!BA:BA)</f>
        <v/>
      </c>
      <c r="BB22" s="687">
        <f>SUMIF('Jnls Mthly'!$A:$A,'TB Mnthly'!$A22,'Jnls Mthly'!BB:BB)</f>
        <v/>
      </c>
      <c r="BC22" s="687">
        <f>SUMIF('Jnls Mthly'!$A:$A,'TB Mnthly'!$A22,'Jnls Mthly'!BC:BC)</f>
        <v/>
      </c>
      <c r="BD22" s="687">
        <f>SUMIF('Jnls Mthly'!$A:$A,'TB Mnthly'!$A22,'Jnls Mthly'!BD:BD)</f>
        <v/>
      </c>
      <c r="BE22" s="687">
        <f>SUMIF('Jnls Mthly'!$A:$A,'TB Mnthly'!$A22,'Jnls Mthly'!BE:BE)</f>
        <v/>
      </c>
      <c r="BF22" s="687">
        <f>SUM(AS22:BE22)</f>
        <v/>
      </c>
      <c r="BH22" s="687">
        <f>SUMIF('Jnls Mthly'!$A:$A,'TB Mnthly'!$A22,'Jnls Mthly'!BH:BH)</f>
        <v/>
      </c>
      <c r="BI22" s="687">
        <f>SUMIF('Jnls Mthly'!$A:$A,'TB Mnthly'!$A22,'Jnls Mthly'!BI:BI)</f>
        <v/>
      </c>
      <c r="BJ22" s="687">
        <f>SUMIF('Jnls Mthly'!$A:$A,'TB Mnthly'!$A22,'Jnls Mthly'!BJ:BJ)</f>
        <v/>
      </c>
      <c r="BK22" s="687">
        <f>SUMIF('Jnls Mthly'!$A:$A,'TB Mnthly'!$A22,'Jnls Mthly'!BK:BK)</f>
        <v/>
      </c>
      <c r="BL22" s="687">
        <f>SUMIF('Jnls Mthly'!$A:$A,'TB Mnthly'!$A22,'Jnls Mthly'!BL:BL)</f>
        <v/>
      </c>
      <c r="BM22" s="687">
        <f>SUMIF('Jnls Mthly'!$A:$A,'TB Mnthly'!$A22,'Jnls Mthly'!BM:BM)</f>
        <v/>
      </c>
      <c r="BN22" s="687">
        <f>SUMIF('Jnls Mthly'!$A:$A,'TB Mnthly'!$A22,'Jnls Mthly'!BN:BN)</f>
        <v/>
      </c>
      <c r="BO22" s="687">
        <f>SUMIF('Jnls Mthly'!$A:$A,'TB Mnthly'!$A22,'Jnls Mthly'!BO:BO)</f>
        <v/>
      </c>
      <c r="BP22" s="687">
        <f>SUMIF('Jnls Mthly'!$A:$A,'TB Mnthly'!$A22,'Jnls Mthly'!BP:BP)</f>
        <v/>
      </c>
      <c r="BQ22" s="687">
        <f>SUMIF('Jnls Mthly'!$A:$A,'TB Mnthly'!$A22,'Jnls Mthly'!BQ:BQ)</f>
        <v/>
      </c>
      <c r="BR22" s="687">
        <f>SUMIF('Jnls Mthly'!$A:$A,'TB Mnthly'!$A22,'Jnls Mthly'!BR:BR)</f>
        <v/>
      </c>
      <c r="BS22" s="687">
        <f>SUMIF('Jnls Mthly'!$A:$A,'TB Mnthly'!$A22,'Jnls Mthly'!BS:BS)</f>
        <v/>
      </c>
      <c r="BT22" s="687">
        <f>SUM(BG22:BS22)</f>
        <v/>
      </c>
    </row>
    <row r="23">
      <c r="A23" s="497" t="inlineStr">
        <is>
          <t>Utilities</t>
        </is>
      </c>
      <c r="C23" s="687">
        <f>SUMIF('Jnls Mthly'!$A:$A,'TB Mnthly'!$A23,'Jnls Mthly'!C:C)</f>
        <v/>
      </c>
      <c r="D23" s="687">
        <f>SUMIF('Jnls Mthly'!$A:$A,'TB Mnthly'!$A23,'Jnls Mthly'!D:D)</f>
        <v/>
      </c>
      <c r="E23" s="687">
        <f>SUMIF('Jnls Mthly'!$A:$A,'TB Mnthly'!$A23,'Jnls Mthly'!E:E)</f>
        <v/>
      </c>
      <c r="F23" s="687">
        <f>SUMIF('Jnls Mthly'!$A:$A,'TB Mnthly'!$A23,'Jnls Mthly'!F:F)</f>
        <v/>
      </c>
      <c r="G23" s="687">
        <f>SUMIF('Jnls Mthly'!$A:$A,'TB Mnthly'!$A23,'Jnls Mthly'!G:G)</f>
        <v/>
      </c>
      <c r="H23" s="687">
        <f>SUMIF('Jnls Mthly'!$A:$A,'TB Mnthly'!$A23,'Jnls Mthly'!H:H)</f>
        <v/>
      </c>
      <c r="I23" s="687">
        <f>SUMIF('Jnls Mthly'!$A:$A,'TB Mnthly'!$A23,'Jnls Mthly'!I:I)</f>
        <v/>
      </c>
      <c r="J23" s="687">
        <f>SUMIF('Jnls Mthly'!$A:$A,'TB Mnthly'!$A23,'Jnls Mthly'!J:J)</f>
        <v/>
      </c>
      <c r="K23" s="687">
        <f>SUMIF('Jnls Mthly'!$A:$A,'TB Mnthly'!$A23,'Jnls Mthly'!K:K)</f>
        <v/>
      </c>
      <c r="L23" s="687">
        <f>SUMIF('Jnls Mthly'!$A:$A,'TB Mnthly'!$A23,'Jnls Mthly'!L:L)</f>
        <v/>
      </c>
      <c r="M23" s="687">
        <f>SUMIF('Jnls Mthly'!$A:$A,'TB Mnthly'!$A23,'Jnls Mthly'!M:M)</f>
        <v/>
      </c>
      <c r="N23" s="687">
        <f>SUMIF('Jnls Mthly'!$A:$A,'TB Mnthly'!$A23,'Jnls Mthly'!N:N)</f>
        <v/>
      </c>
      <c r="O23" s="687">
        <f>SUMIF('Jnls Mthly'!$A:$A,'TB Mnthly'!$A23,'Jnls Mthly'!O:O)</f>
        <v/>
      </c>
      <c r="P23" s="687">
        <f>SUM(C23:O23)</f>
        <v/>
      </c>
      <c r="Q23" s="680" t="n"/>
      <c r="R23" s="687">
        <f>SUMIF('Jnls Mthly'!$A:$A,'TB Mnthly'!$A23,'Jnls Mthly'!R:R)</f>
        <v/>
      </c>
      <c r="S23" s="687">
        <f>SUMIF('Jnls Mthly'!$A:$A,'TB Mnthly'!$A23,'Jnls Mthly'!S:S)</f>
        <v/>
      </c>
      <c r="T23" s="687">
        <f>SUMIF('Jnls Mthly'!$A:$A,'TB Mnthly'!$A23,'Jnls Mthly'!T:T)</f>
        <v/>
      </c>
      <c r="U23" s="687">
        <f>SUMIF('Jnls Mthly'!$A:$A,'TB Mnthly'!$A23,'Jnls Mthly'!U:U)</f>
        <v/>
      </c>
      <c r="V23" s="687">
        <f>SUMIF('Jnls Mthly'!$A:$A,'TB Mnthly'!$A23,'Jnls Mthly'!V:V)</f>
        <v/>
      </c>
      <c r="W23" s="687">
        <f>SUMIF('Jnls Mthly'!$A:$A,'TB Mnthly'!$A23,'Jnls Mthly'!W:W)</f>
        <v/>
      </c>
      <c r="X23" s="687">
        <f>SUMIF('Jnls Mthly'!$A:$A,'TB Mnthly'!$A23,'Jnls Mthly'!X:X)</f>
        <v/>
      </c>
      <c r="Y23" s="687">
        <f>SUMIF('Jnls Mthly'!$A:$A,'TB Mnthly'!$A23,'Jnls Mthly'!Y:Y)</f>
        <v/>
      </c>
      <c r="Z23" s="687">
        <f>SUMIF('Jnls Mthly'!$A:$A,'TB Mnthly'!$A23,'Jnls Mthly'!Z:Z)</f>
        <v/>
      </c>
      <c r="AA23" s="687">
        <f>SUMIF('Jnls Mthly'!$A:$A,'TB Mnthly'!$A23,'Jnls Mthly'!AA:AA)</f>
        <v/>
      </c>
      <c r="AB23" s="687">
        <f>SUMIF('Jnls Mthly'!$A:$A,'TB Mnthly'!$A23,'Jnls Mthly'!AB:AB)</f>
        <v/>
      </c>
      <c r="AC23" s="687">
        <f>SUMIF('Jnls Mthly'!$A:$A,'TB Mnthly'!$A23,'Jnls Mthly'!AC:AC)</f>
        <v/>
      </c>
      <c r="AD23" s="687">
        <f>SUM(Q23:AC23)</f>
        <v/>
      </c>
      <c r="AE23" s="680" t="n"/>
      <c r="AF23" s="687">
        <f>SUMIF('Jnls Mthly'!$A:$A,'TB Mnthly'!$A23,'Jnls Mthly'!AF:AF)</f>
        <v/>
      </c>
      <c r="AG23" s="687">
        <f>SUMIF('Jnls Mthly'!$A:$A,'TB Mnthly'!$A23,'Jnls Mthly'!AG:AG)</f>
        <v/>
      </c>
      <c r="AH23" s="687">
        <f>SUMIF('Jnls Mthly'!$A:$A,'TB Mnthly'!$A23,'Jnls Mthly'!AH:AH)</f>
        <v/>
      </c>
      <c r="AI23" s="687">
        <f>SUMIF('Jnls Mthly'!$A:$A,'TB Mnthly'!$A23,'Jnls Mthly'!AI:AI)</f>
        <v/>
      </c>
      <c r="AJ23" s="687">
        <f>SUMIF('Jnls Mthly'!$A:$A,'TB Mnthly'!$A23,'Jnls Mthly'!AJ:AJ)</f>
        <v/>
      </c>
      <c r="AK23" s="687">
        <f>SUMIF('Jnls Mthly'!$A:$A,'TB Mnthly'!$A23,'Jnls Mthly'!AK:AK)</f>
        <v/>
      </c>
      <c r="AL23" s="687">
        <f>SUMIF('Jnls Mthly'!$A:$A,'TB Mnthly'!$A23,'Jnls Mthly'!AL:AL)</f>
        <v/>
      </c>
      <c r="AM23" s="687">
        <f>SUMIF('Jnls Mthly'!$A:$A,'TB Mnthly'!$A23,'Jnls Mthly'!AM:AM)</f>
        <v/>
      </c>
      <c r="AN23" s="687">
        <f>SUMIF('Jnls Mthly'!$A:$A,'TB Mnthly'!$A23,'Jnls Mthly'!AN:AN)</f>
        <v/>
      </c>
      <c r="AO23" s="687">
        <f>SUMIF('Jnls Mthly'!$A:$A,'TB Mnthly'!$A23,'Jnls Mthly'!AO:AO)</f>
        <v/>
      </c>
      <c r="AP23" s="687">
        <f>SUMIF('Jnls Mthly'!$A:$A,'TB Mnthly'!$A23,'Jnls Mthly'!AP:AP)</f>
        <v/>
      </c>
      <c r="AQ23" s="687">
        <f>SUMIF('Jnls Mthly'!$A:$A,'TB Mnthly'!$A23,'Jnls Mthly'!AQ:AQ)</f>
        <v/>
      </c>
      <c r="AR23" s="687">
        <f>SUM(AE23:AQ23)</f>
        <v/>
      </c>
      <c r="AS23" s="680" t="n"/>
      <c r="AT23" s="687">
        <f>SUMIF('Jnls Mthly'!$A:$A,'TB Mnthly'!$A23,'Jnls Mthly'!AT:AT)</f>
        <v/>
      </c>
      <c r="AU23" s="687">
        <f>SUMIF('Jnls Mthly'!$A:$A,'TB Mnthly'!$A23,'Jnls Mthly'!AU:AU)</f>
        <v/>
      </c>
      <c r="AV23" s="687">
        <f>SUMIF('Jnls Mthly'!$A:$A,'TB Mnthly'!$A23,'Jnls Mthly'!AV:AV)</f>
        <v/>
      </c>
      <c r="AW23" s="687">
        <f>SUMIF('Jnls Mthly'!$A:$A,'TB Mnthly'!$A23,'Jnls Mthly'!AW:AW)</f>
        <v/>
      </c>
      <c r="AX23" s="687">
        <f>SUMIF('Jnls Mthly'!$A:$A,'TB Mnthly'!$A23,'Jnls Mthly'!AX:AX)</f>
        <v/>
      </c>
      <c r="AY23" s="687">
        <f>SUMIF('Jnls Mthly'!$A:$A,'TB Mnthly'!$A23,'Jnls Mthly'!AY:AY)</f>
        <v/>
      </c>
      <c r="AZ23" s="687">
        <f>SUMIF('Jnls Mthly'!$A:$A,'TB Mnthly'!$A23,'Jnls Mthly'!AZ:AZ)</f>
        <v/>
      </c>
      <c r="BA23" s="687">
        <f>SUMIF('Jnls Mthly'!$A:$A,'TB Mnthly'!$A23,'Jnls Mthly'!BA:BA)</f>
        <v/>
      </c>
      <c r="BB23" s="687">
        <f>SUMIF('Jnls Mthly'!$A:$A,'TB Mnthly'!$A23,'Jnls Mthly'!BB:BB)</f>
        <v/>
      </c>
      <c r="BC23" s="687">
        <f>SUMIF('Jnls Mthly'!$A:$A,'TB Mnthly'!$A23,'Jnls Mthly'!BC:BC)</f>
        <v/>
      </c>
      <c r="BD23" s="687">
        <f>SUMIF('Jnls Mthly'!$A:$A,'TB Mnthly'!$A23,'Jnls Mthly'!BD:BD)</f>
        <v/>
      </c>
      <c r="BE23" s="687">
        <f>SUMIF('Jnls Mthly'!$A:$A,'TB Mnthly'!$A23,'Jnls Mthly'!BE:BE)</f>
        <v/>
      </c>
      <c r="BF23" s="687">
        <f>SUM(AS23:BE23)</f>
        <v/>
      </c>
      <c r="BH23" s="687">
        <f>SUMIF('Jnls Mthly'!$A:$A,'TB Mnthly'!$A23,'Jnls Mthly'!BH:BH)</f>
        <v/>
      </c>
      <c r="BI23" s="687">
        <f>SUMIF('Jnls Mthly'!$A:$A,'TB Mnthly'!$A23,'Jnls Mthly'!BI:BI)</f>
        <v/>
      </c>
      <c r="BJ23" s="687">
        <f>SUMIF('Jnls Mthly'!$A:$A,'TB Mnthly'!$A23,'Jnls Mthly'!BJ:BJ)</f>
        <v/>
      </c>
      <c r="BK23" s="687">
        <f>SUMIF('Jnls Mthly'!$A:$A,'TB Mnthly'!$A23,'Jnls Mthly'!BK:BK)</f>
        <v/>
      </c>
      <c r="BL23" s="687">
        <f>SUMIF('Jnls Mthly'!$A:$A,'TB Mnthly'!$A23,'Jnls Mthly'!BL:BL)</f>
        <v/>
      </c>
      <c r="BM23" s="687">
        <f>SUMIF('Jnls Mthly'!$A:$A,'TB Mnthly'!$A23,'Jnls Mthly'!BM:BM)</f>
        <v/>
      </c>
      <c r="BN23" s="687">
        <f>SUMIF('Jnls Mthly'!$A:$A,'TB Mnthly'!$A23,'Jnls Mthly'!BN:BN)</f>
        <v/>
      </c>
      <c r="BO23" s="687">
        <f>SUMIF('Jnls Mthly'!$A:$A,'TB Mnthly'!$A23,'Jnls Mthly'!BO:BO)</f>
        <v/>
      </c>
      <c r="BP23" s="687">
        <f>SUMIF('Jnls Mthly'!$A:$A,'TB Mnthly'!$A23,'Jnls Mthly'!BP:BP)</f>
        <v/>
      </c>
      <c r="BQ23" s="687">
        <f>SUMIF('Jnls Mthly'!$A:$A,'TB Mnthly'!$A23,'Jnls Mthly'!BQ:BQ)</f>
        <v/>
      </c>
      <c r="BR23" s="687">
        <f>SUMIF('Jnls Mthly'!$A:$A,'TB Mnthly'!$A23,'Jnls Mthly'!BR:BR)</f>
        <v/>
      </c>
      <c r="BS23" s="687">
        <f>SUMIF('Jnls Mthly'!$A:$A,'TB Mnthly'!$A23,'Jnls Mthly'!BS:BS)</f>
        <v/>
      </c>
      <c r="BT23" s="687">
        <f>SUM(BG23:BS23)</f>
        <v/>
      </c>
    </row>
    <row r="24">
      <c r="A24" s="497" t="inlineStr">
        <is>
          <t>Repairs and Maintenance</t>
        </is>
      </c>
      <c r="C24" s="687">
        <f>SUMIF('Jnls Mthly'!$A:$A,'TB Mnthly'!$A24,'Jnls Mthly'!C:C)</f>
        <v/>
      </c>
      <c r="D24" s="687">
        <f>SUMIF('Jnls Mthly'!$A:$A,'TB Mnthly'!$A24,'Jnls Mthly'!D:D)</f>
        <v/>
      </c>
      <c r="E24" s="687">
        <f>SUMIF('Jnls Mthly'!$A:$A,'TB Mnthly'!$A24,'Jnls Mthly'!E:E)</f>
        <v/>
      </c>
      <c r="F24" s="687">
        <f>SUMIF('Jnls Mthly'!$A:$A,'TB Mnthly'!$A24,'Jnls Mthly'!F:F)</f>
        <v/>
      </c>
      <c r="G24" s="687">
        <f>SUMIF('Jnls Mthly'!$A:$A,'TB Mnthly'!$A24,'Jnls Mthly'!G:G)</f>
        <v/>
      </c>
      <c r="H24" s="687">
        <f>SUMIF('Jnls Mthly'!$A:$A,'TB Mnthly'!$A24,'Jnls Mthly'!H:H)</f>
        <v/>
      </c>
      <c r="I24" s="687">
        <f>SUMIF('Jnls Mthly'!$A:$A,'TB Mnthly'!$A24,'Jnls Mthly'!I:I)</f>
        <v/>
      </c>
      <c r="J24" s="687">
        <f>SUMIF('Jnls Mthly'!$A:$A,'TB Mnthly'!$A24,'Jnls Mthly'!J:J)</f>
        <v/>
      </c>
      <c r="K24" s="687">
        <f>SUMIF('Jnls Mthly'!$A:$A,'TB Mnthly'!$A24,'Jnls Mthly'!K:K)</f>
        <v/>
      </c>
      <c r="L24" s="687">
        <f>SUMIF('Jnls Mthly'!$A:$A,'TB Mnthly'!$A24,'Jnls Mthly'!L:L)</f>
        <v/>
      </c>
      <c r="M24" s="687">
        <f>SUMIF('Jnls Mthly'!$A:$A,'TB Mnthly'!$A24,'Jnls Mthly'!M:M)</f>
        <v/>
      </c>
      <c r="N24" s="687">
        <f>SUMIF('Jnls Mthly'!$A:$A,'TB Mnthly'!$A24,'Jnls Mthly'!N:N)</f>
        <v/>
      </c>
      <c r="O24" s="687">
        <f>SUMIF('Jnls Mthly'!$A:$A,'TB Mnthly'!$A24,'Jnls Mthly'!O:O)</f>
        <v/>
      </c>
      <c r="P24" s="687">
        <f>SUM(C24:O24)</f>
        <v/>
      </c>
      <c r="Q24" s="680" t="n"/>
      <c r="R24" s="687">
        <f>SUMIF('Jnls Mthly'!$A:$A,'TB Mnthly'!$A24,'Jnls Mthly'!R:R)</f>
        <v/>
      </c>
      <c r="S24" s="687">
        <f>SUMIF('Jnls Mthly'!$A:$A,'TB Mnthly'!$A24,'Jnls Mthly'!S:S)</f>
        <v/>
      </c>
      <c r="T24" s="687">
        <f>SUMIF('Jnls Mthly'!$A:$A,'TB Mnthly'!$A24,'Jnls Mthly'!T:T)</f>
        <v/>
      </c>
      <c r="U24" s="687">
        <f>SUMIF('Jnls Mthly'!$A:$A,'TB Mnthly'!$A24,'Jnls Mthly'!U:U)</f>
        <v/>
      </c>
      <c r="V24" s="687">
        <f>SUMIF('Jnls Mthly'!$A:$A,'TB Mnthly'!$A24,'Jnls Mthly'!V:V)</f>
        <v/>
      </c>
      <c r="W24" s="687">
        <f>SUMIF('Jnls Mthly'!$A:$A,'TB Mnthly'!$A24,'Jnls Mthly'!W:W)</f>
        <v/>
      </c>
      <c r="X24" s="687">
        <f>SUMIF('Jnls Mthly'!$A:$A,'TB Mnthly'!$A24,'Jnls Mthly'!X:X)</f>
        <v/>
      </c>
      <c r="Y24" s="687">
        <f>SUMIF('Jnls Mthly'!$A:$A,'TB Mnthly'!$A24,'Jnls Mthly'!Y:Y)</f>
        <v/>
      </c>
      <c r="Z24" s="687">
        <f>SUMIF('Jnls Mthly'!$A:$A,'TB Mnthly'!$A24,'Jnls Mthly'!Z:Z)</f>
        <v/>
      </c>
      <c r="AA24" s="687">
        <f>SUMIF('Jnls Mthly'!$A:$A,'TB Mnthly'!$A24,'Jnls Mthly'!AA:AA)</f>
        <v/>
      </c>
      <c r="AB24" s="687">
        <f>SUMIF('Jnls Mthly'!$A:$A,'TB Mnthly'!$A24,'Jnls Mthly'!AB:AB)</f>
        <v/>
      </c>
      <c r="AC24" s="687">
        <f>SUMIF('Jnls Mthly'!$A:$A,'TB Mnthly'!$A24,'Jnls Mthly'!AC:AC)</f>
        <v/>
      </c>
      <c r="AD24" s="687">
        <f>SUM(Q24:AC24)</f>
        <v/>
      </c>
      <c r="AE24" s="680" t="n"/>
      <c r="AF24" s="687">
        <f>SUMIF('Jnls Mthly'!$A:$A,'TB Mnthly'!$A24,'Jnls Mthly'!AF:AF)</f>
        <v/>
      </c>
      <c r="AG24" s="687">
        <f>SUMIF('Jnls Mthly'!$A:$A,'TB Mnthly'!$A24,'Jnls Mthly'!AG:AG)</f>
        <v/>
      </c>
      <c r="AH24" s="687">
        <f>SUMIF('Jnls Mthly'!$A:$A,'TB Mnthly'!$A24,'Jnls Mthly'!AH:AH)</f>
        <v/>
      </c>
      <c r="AI24" s="687">
        <f>SUMIF('Jnls Mthly'!$A:$A,'TB Mnthly'!$A24,'Jnls Mthly'!AI:AI)</f>
        <v/>
      </c>
      <c r="AJ24" s="687">
        <f>SUMIF('Jnls Mthly'!$A:$A,'TB Mnthly'!$A24,'Jnls Mthly'!AJ:AJ)</f>
        <v/>
      </c>
      <c r="AK24" s="687">
        <f>SUMIF('Jnls Mthly'!$A:$A,'TB Mnthly'!$A24,'Jnls Mthly'!AK:AK)</f>
        <v/>
      </c>
      <c r="AL24" s="687">
        <f>SUMIF('Jnls Mthly'!$A:$A,'TB Mnthly'!$A24,'Jnls Mthly'!AL:AL)</f>
        <v/>
      </c>
      <c r="AM24" s="687">
        <f>SUMIF('Jnls Mthly'!$A:$A,'TB Mnthly'!$A24,'Jnls Mthly'!AM:AM)</f>
        <v/>
      </c>
      <c r="AN24" s="687">
        <f>SUMIF('Jnls Mthly'!$A:$A,'TB Mnthly'!$A24,'Jnls Mthly'!AN:AN)</f>
        <v/>
      </c>
      <c r="AO24" s="687">
        <f>SUMIF('Jnls Mthly'!$A:$A,'TB Mnthly'!$A24,'Jnls Mthly'!AO:AO)</f>
        <v/>
      </c>
      <c r="AP24" s="687">
        <f>SUMIF('Jnls Mthly'!$A:$A,'TB Mnthly'!$A24,'Jnls Mthly'!AP:AP)</f>
        <v/>
      </c>
      <c r="AQ24" s="687">
        <f>SUMIF('Jnls Mthly'!$A:$A,'TB Mnthly'!$A24,'Jnls Mthly'!AQ:AQ)</f>
        <v/>
      </c>
      <c r="AR24" s="687">
        <f>SUM(AE24:AQ24)</f>
        <v/>
      </c>
      <c r="AS24" s="680" t="n"/>
      <c r="AT24" s="687">
        <f>SUMIF('Jnls Mthly'!$A:$A,'TB Mnthly'!$A24,'Jnls Mthly'!AT:AT)</f>
        <v/>
      </c>
      <c r="AU24" s="687">
        <f>SUMIF('Jnls Mthly'!$A:$A,'TB Mnthly'!$A24,'Jnls Mthly'!AU:AU)</f>
        <v/>
      </c>
      <c r="AV24" s="687">
        <f>SUMIF('Jnls Mthly'!$A:$A,'TB Mnthly'!$A24,'Jnls Mthly'!AV:AV)</f>
        <v/>
      </c>
      <c r="AW24" s="687">
        <f>SUMIF('Jnls Mthly'!$A:$A,'TB Mnthly'!$A24,'Jnls Mthly'!AW:AW)</f>
        <v/>
      </c>
      <c r="AX24" s="687">
        <f>SUMIF('Jnls Mthly'!$A:$A,'TB Mnthly'!$A24,'Jnls Mthly'!AX:AX)</f>
        <v/>
      </c>
      <c r="AY24" s="687">
        <f>SUMIF('Jnls Mthly'!$A:$A,'TB Mnthly'!$A24,'Jnls Mthly'!AY:AY)</f>
        <v/>
      </c>
      <c r="AZ24" s="687">
        <f>SUMIF('Jnls Mthly'!$A:$A,'TB Mnthly'!$A24,'Jnls Mthly'!AZ:AZ)</f>
        <v/>
      </c>
      <c r="BA24" s="687">
        <f>SUMIF('Jnls Mthly'!$A:$A,'TB Mnthly'!$A24,'Jnls Mthly'!BA:BA)</f>
        <v/>
      </c>
      <c r="BB24" s="687">
        <f>SUMIF('Jnls Mthly'!$A:$A,'TB Mnthly'!$A24,'Jnls Mthly'!BB:BB)</f>
        <v/>
      </c>
      <c r="BC24" s="687">
        <f>SUMIF('Jnls Mthly'!$A:$A,'TB Mnthly'!$A24,'Jnls Mthly'!BC:BC)</f>
        <v/>
      </c>
      <c r="BD24" s="687">
        <f>SUMIF('Jnls Mthly'!$A:$A,'TB Mnthly'!$A24,'Jnls Mthly'!BD:BD)</f>
        <v/>
      </c>
      <c r="BE24" s="687">
        <f>SUMIF('Jnls Mthly'!$A:$A,'TB Mnthly'!$A24,'Jnls Mthly'!BE:BE)</f>
        <v/>
      </c>
      <c r="BF24" s="687">
        <f>SUM(AS24:BE24)</f>
        <v/>
      </c>
      <c r="BH24" s="687">
        <f>SUMIF('Jnls Mthly'!$A:$A,'TB Mnthly'!$A24,'Jnls Mthly'!BH:BH)</f>
        <v/>
      </c>
      <c r="BI24" s="687">
        <f>SUMIF('Jnls Mthly'!$A:$A,'TB Mnthly'!$A24,'Jnls Mthly'!BI:BI)</f>
        <v/>
      </c>
      <c r="BJ24" s="687">
        <f>SUMIF('Jnls Mthly'!$A:$A,'TB Mnthly'!$A24,'Jnls Mthly'!BJ:BJ)</f>
        <v/>
      </c>
      <c r="BK24" s="687">
        <f>SUMIF('Jnls Mthly'!$A:$A,'TB Mnthly'!$A24,'Jnls Mthly'!BK:BK)</f>
        <v/>
      </c>
      <c r="BL24" s="687">
        <f>SUMIF('Jnls Mthly'!$A:$A,'TB Mnthly'!$A24,'Jnls Mthly'!BL:BL)</f>
        <v/>
      </c>
      <c r="BM24" s="687">
        <f>SUMIF('Jnls Mthly'!$A:$A,'TB Mnthly'!$A24,'Jnls Mthly'!BM:BM)</f>
        <v/>
      </c>
      <c r="BN24" s="687">
        <f>SUMIF('Jnls Mthly'!$A:$A,'TB Mnthly'!$A24,'Jnls Mthly'!BN:BN)</f>
        <v/>
      </c>
      <c r="BO24" s="687">
        <f>SUMIF('Jnls Mthly'!$A:$A,'TB Mnthly'!$A24,'Jnls Mthly'!BO:BO)</f>
        <v/>
      </c>
      <c r="BP24" s="687">
        <f>SUMIF('Jnls Mthly'!$A:$A,'TB Mnthly'!$A24,'Jnls Mthly'!BP:BP)</f>
        <v/>
      </c>
      <c r="BQ24" s="687">
        <f>SUMIF('Jnls Mthly'!$A:$A,'TB Mnthly'!$A24,'Jnls Mthly'!BQ:BQ)</f>
        <v/>
      </c>
      <c r="BR24" s="687">
        <f>SUMIF('Jnls Mthly'!$A:$A,'TB Mnthly'!$A24,'Jnls Mthly'!BR:BR)</f>
        <v/>
      </c>
      <c r="BS24" s="687">
        <f>SUMIF('Jnls Mthly'!$A:$A,'TB Mnthly'!$A24,'Jnls Mthly'!BS:BS)</f>
        <v/>
      </c>
      <c r="BT24" s="687">
        <f>SUM(BG24:BS24)</f>
        <v/>
      </c>
    </row>
    <row r="25">
      <c r="A25" s="497" t="inlineStr">
        <is>
          <t>Marketing</t>
        </is>
      </c>
      <c r="C25" s="687">
        <f>SUMIF('Jnls Mthly'!$A:$A,'TB Mnthly'!$A25,'Jnls Mthly'!C:C)</f>
        <v/>
      </c>
      <c r="D25" s="687">
        <f>SUMIF('Jnls Mthly'!$A:$A,'TB Mnthly'!$A25,'Jnls Mthly'!D:D)</f>
        <v/>
      </c>
      <c r="E25" s="687">
        <f>SUMIF('Jnls Mthly'!$A:$A,'TB Mnthly'!$A25,'Jnls Mthly'!E:E)</f>
        <v/>
      </c>
      <c r="F25" s="687">
        <f>SUMIF('Jnls Mthly'!$A:$A,'TB Mnthly'!$A25,'Jnls Mthly'!F:F)</f>
        <v/>
      </c>
      <c r="G25" s="687">
        <f>SUMIF('Jnls Mthly'!$A:$A,'TB Mnthly'!$A25,'Jnls Mthly'!G:G)</f>
        <v/>
      </c>
      <c r="H25" s="687">
        <f>SUMIF('Jnls Mthly'!$A:$A,'TB Mnthly'!$A25,'Jnls Mthly'!H:H)</f>
        <v/>
      </c>
      <c r="I25" s="687">
        <f>SUMIF('Jnls Mthly'!$A:$A,'TB Mnthly'!$A25,'Jnls Mthly'!I:I)</f>
        <v/>
      </c>
      <c r="J25" s="687">
        <f>SUMIF('Jnls Mthly'!$A:$A,'TB Mnthly'!$A25,'Jnls Mthly'!J:J)</f>
        <v/>
      </c>
      <c r="K25" s="687">
        <f>SUMIF('Jnls Mthly'!$A:$A,'TB Mnthly'!$A25,'Jnls Mthly'!K:K)</f>
        <v/>
      </c>
      <c r="L25" s="687">
        <f>SUMIF('Jnls Mthly'!$A:$A,'TB Mnthly'!$A25,'Jnls Mthly'!L:L)</f>
        <v/>
      </c>
      <c r="M25" s="687">
        <f>SUMIF('Jnls Mthly'!$A:$A,'TB Mnthly'!$A25,'Jnls Mthly'!M:M)</f>
        <v/>
      </c>
      <c r="N25" s="687">
        <f>SUMIF('Jnls Mthly'!$A:$A,'TB Mnthly'!$A25,'Jnls Mthly'!N:N)</f>
        <v/>
      </c>
      <c r="O25" s="687">
        <f>SUMIF('Jnls Mthly'!$A:$A,'TB Mnthly'!$A25,'Jnls Mthly'!O:O)</f>
        <v/>
      </c>
      <c r="P25" s="687">
        <f>SUM(C25:O25)</f>
        <v/>
      </c>
      <c r="Q25" s="680" t="n"/>
      <c r="R25" s="687">
        <f>SUMIF('Jnls Mthly'!$A:$A,'TB Mnthly'!$A25,'Jnls Mthly'!R:R)</f>
        <v/>
      </c>
      <c r="S25" s="687">
        <f>SUMIF('Jnls Mthly'!$A:$A,'TB Mnthly'!$A25,'Jnls Mthly'!S:S)</f>
        <v/>
      </c>
      <c r="T25" s="687">
        <f>SUMIF('Jnls Mthly'!$A:$A,'TB Mnthly'!$A25,'Jnls Mthly'!T:T)</f>
        <v/>
      </c>
      <c r="U25" s="687">
        <f>SUMIF('Jnls Mthly'!$A:$A,'TB Mnthly'!$A25,'Jnls Mthly'!U:U)</f>
        <v/>
      </c>
      <c r="V25" s="687">
        <f>SUMIF('Jnls Mthly'!$A:$A,'TB Mnthly'!$A25,'Jnls Mthly'!V:V)</f>
        <v/>
      </c>
      <c r="W25" s="687">
        <f>SUMIF('Jnls Mthly'!$A:$A,'TB Mnthly'!$A25,'Jnls Mthly'!W:W)</f>
        <v/>
      </c>
      <c r="X25" s="687">
        <f>SUMIF('Jnls Mthly'!$A:$A,'TB Mnthly'!$A25,'Jnls Mthly'!X:X)</f>
        <v/>
      </c>
      <c r="Y25" s="687">
        <f>SUMIF('Jnls Mthly'!$A:$A,'TB Mnthly'!$A25,'Jnls Mthly'!Y:Y)</f>
        <v/>
      </c>
      <c r="Z25" s="687">
        <f>SUMIF('Jnls Mthly'!$A:$A,'TB Mnthly'!$A25,'Jnls Mthly'!Z:Z)</f>
        <v/>
      </c>
      <c r="AA25" s="687">
        <f>SUMIF('Jnls Mthly'!$A:$A,'TB Mnthly'!$A25,'Jnls Mthly'!AA:AA)</f>
        <v/>
      </c>
      <c r="AB25" s="687">
        <f>SUMIF('Jnls Mthly'!$A:$A,'TB Mnthly'!$A25,'Jnls Mthly'!AB:AB)</f>
        <v/>
      </c>
      <c r="AC25" s="687">
        <f>SUMIF('Jnls Mthly'!$A:$A,'TB Mnthly'!$A25,'Jnls Mthly'!AC:AC)</f>
        <v/>
      </c>
      <c r="AD25" s="687">
        <f>SUM(Q25:AC25)</f>
        <v/>
      </c>
      <c r="AE25" s="680" t="n"/>
      <c r="AF25" s="687">
        <f>SUMIF('Jnls Mthly'!$A:$A,'TB Mnthly'!$A25,'Jnls Mthly'!AF:AF)</f>
        <v/>
      </c>
      <c r="AG25" s="687">
        <f>SUMIF('Jnls Mthly'!$A:$A,'TB Mnthly'!$A25,'Jnls Mthly'!AG:AG)</f>
        <v/>
      </c>
      <c r="AH25" s="687">
        <f>SUMIF('Jnls Mthly'!$A:$A,'TB Mnthly'!$A25,'Jnls Mthly'!AH:AH)</f>
        <v/>
      </c>
      <c r="AI25" s="687">
        <f>SUMIF('Jnls Mthly'!$A:$A,'TB Mnthly'!$A25,'Jnls Mthly'!AI:AI)</f>
        <v/>
      </c>
      <c r="AJ25" s="687">
        <f>SUMIF('Jnls Mthly'!$A:$A,'TB Mnthly'!$A25,'Jnls Mthly'!AJ:AJ)</f>
        <v/>
      </c>
      <c r="AK25" s="687">
        <f>SUMIF('Jnls Mthly'!$A:$A,'TB Mnthly'!$A25,'Jnls Mthly'!AK:AK)</f>
        <v/>
      </c>
      <c r="AL25" s="687">
        <f>SUMIF('Jnls Mthly'!$A:$A,'TB Mnthly'!$A25,'Jnls Mthly'!AL:AL)</f>
        <v/>
      </c>
      <c r="AM25" s="687">
        <f>SUMIF('Jnls Mthly'!$A:$A,'TB Mnthly'!$A25,'Jnls Mthly'!AM:AM)</f>
        <v/>
      </c>
      <c r="AN25" s="687">
        <f>SUMIF('Jnls Mthly'!$A:$A,'TB Mnthly'!$A25,'Jnls Mthly'!AN:AN)</f>
        <v/>
      </c>
      <c r="AO25" s="687">
        <f>SUMIF('Jnls Mthly'!$A:$A,'TB Mnthly'!$A25,'Jnls Mthly'!AO:AO)</f>
        <v/>
      </c>
      <c r="AP25" s="687">
        <f>SUMIF('Jnls Mthly'!$A:$A,'TB Mnthly'!$A25,'Jnls Mthly'!AP:AP)</f>
        <v/>
      </c>
      <c r="AQ25" s="687">
        <f>SUMIF('Jnls Mthly'!$A:$A,'TB Mnthly'!$A25,'Jnls Mthly'!AQ:AQ)</f>
        <v/>
      </c>
      <c r="AR25" s="687">
        <f>SUM(AE25:AQ25)</f>
        <v/>
      </c>
      <c r="AS25" s="680" t="n"/>
      <c r="AT25" s="687">
        <f>SUMIF('Jnls Mthly'!$A:$A,'TB Mnthly'!$A25,'Jnls Mthly'!AT:AT)</f>
        <v/>
      </c>
      <c r="AU25" s="687">
        <f>SUMIF('Jnls Mthly'!$A:$A,'TB Mnthly'!$A25,'Jnls Mthly'!AU:AU)</f>
        <v/>
      </c>
      <c r="AV25" s="687">
        <f>SUMIF('Jnls Mthly'!$A:$A,'TB Mnthly'!$A25,'Jnls Mthly'!AV:AV)</f>
        <v/>
      </c>
      <c r="AW25" s="687">
        <f>SUMIF('Jnls Mthly'!$A:$A,'TB Mnthly'!$A25,'Jnls Mthly'!AW:AW)</f>
        <v/>
      </c>
      <c r="AX25" s="687">
        <f>SUMIF('Jnls Mthly'!$A:$A,'TB Mnthly'!$A25,'Jnls Mthly'!AX:AX)</f>
        <v/>
      </c>
      <c r="AY25" s="687">
        <f>SUMIF('Jnls Mthly'!$A:$A,'TB Mnthly'!$A25,'Jnls Mthly'!AY:AY)</f>
        <v/>
      </c>
      <c r="AZ25" s="687">
        <f>SUMIF('Jnls Mthly'!$A:$A,'TB Mnthly'!$A25,'Jnls Mthly'!AZ:AZ)</f>
        <v/>
      </c>
      <c r="BA25" s="687">
        <f>SUMIF('Jnls Mthly'!$A:$A,'TB Mnthly'!$A25,'Jnls Mthly'!BA:BA)</f>
        <v/>
      </c>
      <c r="BB25" s="687">
        <f>SUMIF('Jnls Mthly'!$A:$A,'TB Mnthly'!$A25,'Jnls Mthly'!BB:BB)</f>
        <v/>
      </c>
      <c r="BC25" s="687">
        <f>SUMIF('Jnls Mthly'!$A:$A,'TB Mnthly'!$A25,'Jnls Mthly'!BC:BC)</f>
        <v/>
      </c>
      <c r="BD25" s="687">
        <f>SUMIF('Jnls Mthly'!$A:$A,'TB Mnthly'!$A25,'Jnls Mthly'!BD:BD)</f>
        <v/>
      </c>
      <c r="BE25" s="687">
        <f>SUMIF('Jnls Mthly'!$A:$A,'TB Mnthly'!$A25,'Jnls Mthly'!BE:BE)</f>
        <v/>
      </c>
      <c r="BF25" s="687">
        <f>SUM(AS25:BE25)</f>
        <v/>
      </c>
      <c r="BH25" s="687">
        <f>SUMIF('Jnls Mthly'!$A:$A,'TB Mnthly'!$A25,'Jnls Mthly'!BH:BH)</f>
        <v/>
      </c>
      <c r="BI25" s="687">
        <f>SUMIF('Jnls Mthly'!$A:$A,'TB Mnthly'!$A25,'Jnls Mthly'!BI:BI)</f>
        <v/>
      </c>
      <c r="BJ25" s="687">
        <f>SUMIF('Jnls Mthly'!$A:$A,'TB Mnthly'!$A25,'Jnls Mthly'!BJ:BJ)</f>
        <v/>
      </c>
      <c r="BK25" s="687">
        <f>SUMIF('Jnls Mthly'!$A:$A,'TB Mnthly'!$A25,'Jnls Mthly'!BK:BK)</f>
        <v/>
      </c>
      <c r="BL25" s="687">
        <f>SUMIF('Jnls Mthly'!$A:$A,'TB Mnthly'!$A25,'Jnls Mthly'!BL:BL)</f>
        <v/>
      </c>
      <c r="BM25" s="687">
        <f>SUMIF('Jnls Mthly'!$A:$A,'TB Mnthly'!$A25,'Jnls Mthly'!BM:BM)</f>
        <v/>
      </c>
      <c r="BN25" s="687">
        <f>SUMIF('Jnls Mthly'!$A:$A,'TB Mnthly'!$A25,'Jnls Mthly'!BN:BN)</f>
        <v/>
      </c>
      <c r="BO25" s="687">
        <f>SUMIF('Jnls Mthly'!$A:$A,'TB Mnthly'!$A25,'Jnls Mthly'!BO:BO)</f>
        <v/>
      </c>
      <c r="BP25" s="687">
        <f>SUMIF('Jnls Mthly'!$A:$A,'TB Mnthly'!$A25,'Jnls Mthly'!BP:BP)</f>
        <v/>
      </c>
      <c r="BQ25" s="687">
        <f>SUMIF('Jnls Mthly'!$A:$A,'TB Mnthly'!$A25,'Jnls Mthly'!BQ:BQ)</f>
        <v/>
      </c>
      <c r="BR25" s="687">
        <f>SUMIF('Jnls Mthly'!$A:$A,'TB Mnthly'!$A25,'Jnls Mthly'!BR:BR)</f>
        <v/>
      </c>
      <c r="BS25" s="687">
        <f>SUMIF('Jnls Mthly'!$A:$A,'TB Mnthly'!$A25,'Jnls Mthly'!BS:BS)</f>
        <v/>
      </c>
      <c r="BT25" s="687">
        <f>SUM(BG25:BS25)</f>
        <v/>
      </c>
    </row>
    <row r="26">
      <c r="A26" s="497" t="inlineStr">
        <is>
          <t>Admin Costs</t>
        </is>
      </c>
      <c r="C26" s="687">
        <f>SUMIF('Jnls Mthly'!$A:$A,'TB Mnthly'!$A26,'Jnls Mthly'!C:C)</f>
        <v/>
      </c>
      <c r="D26" s="687">
        <f>SUMIF('Jnls Mthly'!$A:$A,'TB Mnthly'!$A26,'Jnls Mthly'!D:D)</f>
        <v/>
      </c>
      <c r="E26" s="687">
        <f>SUMIF('Jnls Mthly'!$A:$A,'TB Mnthly'!$A26,'Jnls Mthly'!E:E)</f>
        <v/>
      </c>
      <c r="F26" s="687">
        <f>SUMIF('Jnls Mthly'!$A:$A,'TB Mnthly'!$A26,'Jnls Mthly'!F:F)</f>
        <v/>
      </c>
      <c r="G26" s="687">
        <f>SUMIF('Jnls Mthly'!$A:$A,'TB Mnthly'!$A26,'Jnls Mthly'!G:G)</f>
        <v/>
      </c>
      <c r="H26" s="687">
        <f>SUMIF('Jnls Mthly'!$A:$A,'TB Mnthly'!$A26,'Jnls Mthly'!H:H)</f>
        <v/>
      </c>
      <c r="I26" s="687">
        <f>SUMIF('Jnls Mthly'!$A:$A,'TB Mnthly'!$A26,'Jnls Mthly'!I:I)</f>
        <v/>
      </c>
      <c r="J26" s="687">
        <f>SUMIF('Jnls Mthly'!$A:$A,'TB Mnthly'!$A26,'Jnls Mthly'!J:J)</f>
        <v/>
      </c>
      <c r="K26" s="687">
        <f>SUMIF('Jnls Mthly'!$A:$A,'TB Mnthly'!$A26,'Jnls Mthly'!K:K)</f>
        <v/>
      </c>
      <c r="L26" s="687">
        <f>SUMIF('Jnls Mthly'!$A:$A,'TB Mnthly'!$A26,'Jnls Mthly'!L:L)</f>
        <v/>
      </c>
      <c r="M26" s="687">
        <f>SUMIF('Jnls Mthly'!$A:$A,'TB Mnthly'!$A26,'Jnls Mthly'!M:M)</f>
        <v/>
      </c>
      <c r="N26" s="687">
        <f>SUMIF('Jnls Mthly'!$A:$A,'TB Mnthly'!$A26,'Jnls Mthly'!N:N)</f>
        <v/>
      </c>
      <c r="O26" s="687">
        <f>SUMIF('Jnls Mthly'!$A:$A,'TB Mnthly'!$A26,'Jnls Mthly'!O:O)</f>
        <v/>
      </c>
      <c r="P26" s="687">
        <f>SUM(C26:O26)</f>
        <v/>
      </c>
      <c r="Q26" s="680" t="n"/>
      <c r="R26" s="687">
        <f>SUMIF('Jnls Mthly'!$A:$A,'TB Mnthly'!$A26,'Jnls Mthly'!R:R)</f>
        <v/>
      </c>
      <c r="S26" s="687">
        <f>SUMIF('Jnls Mthly'!$A:$A,'TB Mnthly'!$A26,'Jnls Mthly'!S:S)</f>
        <v/>
      </c>
      <c r="T26" s="687">
        <f>SUMIF('Jnls Mthly'!$A:$A,'TB Mnthly'!$A26,'Jnls Mthly'!T:T)</f>
        <v/>
      </c>
      <c r="U26" s="687">
        <f>SUMIF('Jnls Mthly'!$A:$A,'TB Mnthly'!$A26,'Jnls Mthly'!U:U)</f>
        <v/>
      </c>
      <c r="V26" s="687">
        <f>SUMIF('Jnls Mthly'!$A:$A,'TB Mnthly'!$A26,'Jnls Mthly'!V:V)</f>
        <v/>
      </c>
      <c r="W26" s="687">
        <f>SUMIF('Jnls Mthly'!$A:$A,'TB Mnthly'!$A26,'Jnls Mthly'!W:W)</f>
        <v/>
      </c>
      <c r="X26" s="687">
        <f>SUMIF('Jnls Mthly'!$A:$A,'TB Mnthly'!$A26,'Jnls Mthly'!X:X)</f>
        <v/>
      </c>
      <c r="Y26" s="687">
        <f>SUMIF('Jnls Mthly'!$A:$A,'TB Mnthly'!$A26,'Jnls Mthly'!Y:Y)</f>
        <v/>
      </c>
      <c r="Z26" s="687">
        <f>SUMIF('Jnls Mthly'!$A:$A,'TB Mnthly'!$A26,'Jnls Mthly'!Z:Z)</f>
        <v/>
      </c>
      <c r="AA26" s="687">
        <f>SUMIF('Jnls Mthly'!$A:$A,'TB Mnthly'!$A26,'Jnls Mthly'!AA:AA)</f>
        <v/>
      </c>
      <c r="AB26" s="687">
        <f>SUMIF('Jnls Mthly'!$A:$A,'TB Mnthly'!$A26,'Jnls Mthly'!AB:AB)</f>
        <v/>
      </c>
      <c r="AC26" s="687">
        <f>SUMIF('Jnls Mthly'!$A:$A,'TB Mnthly'!$A26,'Jnls Mthly'!AC:AC)</f>
        <v/>
      </c>
      <c r="AD26" s="687">
        <f>SUM(Q26:AC26)</f>
        <v/>
      </c>
      <c r="AE26" s="680" t="n"/>
      <c r="AF26" s="687">
        <f>SUMIF('Jnls Mthly'!$A:$A,'TB Mnthly'!$A26,'Jnls Mthly'!AF:AF)</f>
        <v/>
      </c>
      <c r="AG26" s="687">
        <f>SUMIF('Jnls Mthly'!$A:$A,'TB Mnthly'!$A26,'Jnls Mthly'!AG:AG)</f>
        <v/>
      </c>
      <c r="AH26" s="687">
        <f>SUMIF('Jnls Mthly'!$A:$A,'TB Mnthly'!$A26,'Jnls Mthly'!AH:AH)</f>
        <v/>
      </c>
      <c r="AI26" s="687">
        <f>SUMIF('Jnls Mthly'!$A:$A,'TB Mnthly'!$A26,'Jnls Mthly'!AI:AI)</f>
        <v/>
      </c>
      <c r="AJ26" s="687">
        <f>SUMIF('Jnls Mthly'!$A:$A,'TB Mnthly'!$A26,'Jnls Mthly'!AJ:AJ)</f>
        <v/>
      </c>
      <c r="AK26" s="687">
        <f>SUMIF('Jnls Mthly'!$A:$A,'TB Mnthly'!$A26,'Jnls Mthly'!AK:AK)</f>
        <v/>
      </c>
      <c r="AL26" s="687">
        <f>SUMIF('Jnls Mthly'!$A:$A,'TB Mnthly'!$A26,'Jnls Mthly'!AL:AL)</f>
        <v/>
      </c>
      <c r="AM26" s="687">
        <f>SUMIF('Jnls Mthly'!$A:$A,'TB Mnthly'!$A26,'Jnls Mthly'!AM:AM)</f>
        <v/>
      </c>
      <c r="AN26" s="687">
        <f>SUMIF('Jnls Mthly'!$A:$A,'TB Mnthly'!$A26,'Jnls Mthly'!AN:AN)</f>
        <v/>
      </c>
      <c r="AO26" s="687">
        <f>SUMIF('Jnls Mthly'!$A:$A,'TB Mnthly'!$A26,'Jnls Mthly'!AO:AO)</f>
        <v/>
      </c>
      <c r="AP26" s="687">
        <f>SUMIF('Jnls Mthly'!$A:$A,'TB Mnthly'!$A26,'Jnls Mthly'!AP:AP)</f>
        <v/>
      </c>
      <c r="AQ26" s="687">
        <f>SUMIF('Jnls Mthly'!$A:$A,'TB Mnthly'!$A26,'Jnls Mthly'!AQ:AQ)</f>
        <v/>
      </c>
      <c r="AR26" s="687">
        <f>SUM(AE26:AQ26)</f>
        <v/>
      </c>
      <c r="AS26" s="680" t="n"/>
      <c r="AT26" s="687">
        <f>SUMIF('Jnls Mthly'!$A:$A,'TB Mnthly'!$A26,'Jnls Mthly'!AT:AT)</f>
        <v/>
      </c>
      <c r="AU26" s="687">
        <f>SUMIF('Jnls Mthly'!$A:$A,'TB Mnthly'!$A26,'Jnls Mthly'!AU:AU)</f>
        <v/>
      </c>
      <c r="AV26" s="687">
        <f>SUMIF('Jnls Mthly'!$A:$A,'TB Mnthly'!$A26,'Jnls Mthly'!AV:AV)</f>
        <v/>
      </c>
      <c r="AW26" s="687">
        <f>SUMIF('Jnls Mthly'!$A:$A,'TB Mnthly'!$A26,'Jnls Mthly'!AW:AW)</f>
        <v/>
      </c>
      <c r="AX26" s="687">
        <f>SUMIF('Jnls Mthly'!$A:$A,'TB Mnthly'!$A26,'Jnls Mthly'!AX:AX)</f>
        <v/>
      </c>
      <c r="AY26" s="687">
        <f>SUMIF('Jnls Mthly'!$A:$A,'TB Mnthly'!$A26,'Jnls Mthly'!AY:AY)</f>
        <v/>
      </c>
      <c r="AZ26" s="687">
        <f>SUMIF('Jnls Mthly'!$A:$A,'TB Mnthly'!$A26,'Jnls Mthly'!AZ:AZ)</f>
        <v/>
      </c>
      <c r="BA26" s="687">
        <f>SUMIF('Jnls Mthly'!$A:$A,'TB Mnthly'!$A26,'Jnls Mthly'!BA:BA)</f>
        <v/>
      </c>
      <c r="BB26" s="687">
        <f>SUMIF('Jnls Mthly'!$A:$A,'TB Mnthly'!$A26,'Jnls Mthly'!BB:BB)</f>
        <v/>
      </c>
      <c r="BC26" s="687">
        <f>SUMIF('Jnls Mthly'!$A:$A,'TB Mnthly'!$A26,'Jnls Mthly'!BC:BC)</f>
        <v/>
      </c>
      <c r="BD26" s="687">
        <f>SUMIF('Jnls Mthly'!$A:$A,'TB Mnthly'!$A26,'Jnls Mthly'!BD:BD)</f>
        <v/>
      </c>
      <c r="BE26" s="687">
        <f>SUMIF('Jnls Mthly'!$A:$A,'TB Mnthly'!$A26,'Jnls Mthly'!BE:BE)</f>
        <v/>
      </c>
      <c r="BF26" s="687">
        <f>SUM(AS26:BE26)</f>
        <v/>
      </c>
      <c r="BH26" s="687">
        <f>SUMIF('Jnls Mthly'!$A:$A,'TB Mnthly'!$A26,'Jnls Mthly'!BH:BH)</f>
        <v/>
      </c>
      <c r="BI26" s="687">
        <f>SUMIF('Jnls Mthly'!$A:$A,'TB Mnthly'!$A26,'Jnls Mthly'!BI:BI)</f>
        <v/>
      </c>
      <c r="BJ26" s="687">
        <f>SUMIF('Jnls Mthly'!$A:$A,'TB Mnthly'!$A26,'Jnls Mthly'!BJ:BJ)</f>
        <v/>
      </c>
      <c r="BK26" s="687">
        <f>SUMIF('Jnls Mthly'!$A:$A,'TB Mnthly'!$A26,'Jnls Mthly'!BK:BK)</f>
        <v/>
      </c>
      <c r="BL26" s="687">
        <f>SUMIF('Jnls Mthly'!$A:$A,'TB Mnthly'!$A26,'Jnls Mthly'!BL:BL)</f>
        <v/>
      </c>
      <c r="BM26" s="687">
        <f>SUMIF('Jnls Mthly'!$A:$A,'TB Mnthly'!$A26,'Jnls Mthly'!BM:BM)</f>
        <v/>
      </c>
      <c r="BN26" s="687">
        <f>SUMIF('Jnls Mthly'!$A:$A,'TB Mnthly'!$A26,'Jnls Mthly'!BN:BN)</f>
        <v/>
      </c>
      <c r="BO26" s="687">
        <f>SUMIF('Jnls Mthly'!$A:$A,'TB Mnthly'!$A26,'Jnls Mthly'!BO:BO)</f>
        <v/>
      </c>
      <c r="BP26" s="687">
        <f>SUMIF('Jnls Mthly'!$A:$A,'TB Mnthly'!$A26,'Jnls Mthly'!BP:BP)</f>
        <v/>
      </c>
      <c r="BQ26" s="687">
        <f>SUMIF('Jnls Mthly'!$A:$A,'TB Mnthly'!$A26,'Jnls Mthly'!BQ:BQ)</f>
        <v/>
      </c>
      <c r="BR26" s="687">
        <f>SUMIF('Jnls Mthly'!$A:$A,'TB Mnthly'!$A26,'Jnls Mthly'!BR:BR)</f>
        <v/>
      </c>
      <c r="BS26" s="687">
        <f>SUMIF('Jnls Mthly'!$A:$A,'TB Mnthly'!$A26,'Jnls Mthly'!BS:BS)</f>
        <v/>
      </c>
      <c r="BT26" s="687">
        <f>SUM(BG26:BS26)</f>
        <v/>
      </c>
    </row>
    <row r="27">
      <c r="A27" s="676" t="inlineStr">
        <is>
          <t xml:space="preserve">Fibre optic lease </t>
        </is>
      </c>
      <c r="C27" s="687">
        <f>SUMIF('Jnls Mthly'!$A:$A,'TB Mnthly'!$A27,'Jnls Mthly'!C:C)</f>
        <v/>
      </c>
      <c r="D27" s="687">
        <f>SUMIF('Jnls Mthly'!$A:$A,'TB Mnthly'!$A27,'Jnls Mthly'!D:D)</f>
        <v/>
      </c>
      <c r="E27" s="687">
        <f>SUMIF('Jnls Mthly'!$A:$A,'TB Mnthly'!$A27,'Jnls Mthly'!E:E)</f>
        <v/>
      </c>
      <c r="F27" s="687">
        <f>SUMIF('Jnls Mthly'!$A:$A,'TB Mnthly'!$A27,'Jnls Mthly'!F:F)</f>
        <v/>
      </c>
      <c r="G27" s="687">
        <f>SUMIF('Jnls Mthly'!$A:$A,'TB Mnthly'!$A27,'Jnls Mthly'!G:G)</f>
        <v/>
      </c>
      <c r="H27" s="687">
        <f>SUMIF('Jnls Mthly'!$A:$A,'TB Mnthly'!$A27,'Jnls Mthly'!H:H)</f>
        <v/>
      </c>
      <c r="I27" s="687">
        <f>SUMIF('Jnls Mthly'!$A:$A,'TB Mnthly'!$A27,'Jnls Mthly'!I:I)</f>
        <v/>
      </c>
      <c r="J27" s="687">
        <f>SUMIF('Jnls Mthly'!$A:$A,'TB Mnthly'!$A27,'Jnls Mthly'!J:J)</f>
        <v/>
      </c>
      <c r="K27" s="687">
        <f>SUMIF('Jnls Mthly'!$A:$A,'TB Mnthly'!$A27,'Jnls Mthly'!K:K)</f>
        <v/>
      </c>
      <c r="L27" s="687">
        <f>SUMIF('Jnls Mthly'!$A:$A,'TB Mnthly'!$A27,'Jnls Mthly'!L:L)</f>
        <v/>
      </c>
      <c r="M27" s="687">
        <f>SUMIF('Jnls Mthly'!$A:$A,'TB Mnthly'!$A27,'Jnls Mthly'!M:M)</f>
        <v/>
      </c>
      <c r="N27" s="687">
        <f>SUMIF('Jnls Mthly'!$A:$A,'TB Mnthly'!$A27,'Jnls Mthly'!N:N)</f>
        <v/>
      </c>
      <c r="O27" s="687">
        <f>SUMIF('Jnls Mthly'!$A:$A,'TB Mnthly'!$A27,'Jnls Mthly'!O:O)</f>
        <v/>
      </c>
      <c r="P27" s="687">
        <f>SUM(C27:O27)</f>
        <v/>
      </c>
      <c r="Q27" s="680" t="n"/>
      <c r="R27" s="687">
        <f>SUMIF('Jnls Mthly'!$A:$A,'TB Mnthly'!$A27,'Jnls Mthly'!R:R)</f>
        <v/>
      </c>
      <c r="S27" s="687">
        <f>SUMIF('Jnls Mthly'!$A:$A,'TB Mnthly'!$A27,'Jnls Mthly'!S:S)</f>
        <v/>
      </c>
      <c r="T27" s="687">
        <f>SUMIF('Jnls Mthly'!$A:$A,'TB Mnthly'!$A27,'Jnls Mthly'!T:T)</f>
        <v/>
      </c>
      <c r="U27" s="687">
        <f>SUMIF('Jnls Mthly'!$A:$A,'TB Mnthly'!$A27,'Jnls Mthly'!U:U)</f>
        <v/>
      </c>
      <c r="V27" s="687">
        <f>SUMIF('Jnls Mthly'!$A:$A,'TB Mnthly'!$A27,'Jnls Mthly'!V:V)</f>
        <v/>
      </c>
      <c r="W27" s="687">
        <f>SUMIF('Jnls Mthly'!$A:$A,'TB Mnthly'!$A27,'Jnls Mthly'!W:W)</f>
        <v/>
      </c>
      <c r="X27" s="687">
        <f>SUMIF('Jnls Mthly'!$A:$A,'TB Mnthly'!$A27,'Jnls Mthly'!X:X)</f>
        <v/>
      </c>
      <c r="Y27" s="687">
        <f>SUMIF('Jnls Mthly'!$A:$A,'TB Mnthly'!$A27,'Jnls Mthly'!Y:Y)</f>
        <v/>
      </c>
      <c r="Z27" s="687">
        <f>SUMIF('Jnls Mthly'!$A:$A,'TB Mnthly'!$A27,'Jnls Mthly'!Z:Z)</f>
        <v/>
      </c>
      <c r="AA27" s="687">
        <f>SUMIF('Jnls Mthly'!$A:$A,'TB Mnthly'!$A27,'Jnls Mthly'!AA:AA)</f>
        <v/>
      </c>
      <c r="AB27" s="687">
        <f>SUMIF('Jnls Mthly'!$A:$A,'TB Mnthly'!$A27,'Jnls Mthly'!AB:AB)</f>
        <v/>
      </c>
      <c r="AC27" s="687">
        <f>SUMIF('Jnls Mthly'!$A:$A,'TB Mnthly'!$A27,'Jnls Mthly'!AC:AC)</f>
        <v/>
      </c>
      <c r="AD27" s="687">
        <f>SUM(Q27:AC27)</f>
        <v/>
      </c>
      <c r="AE27" s="680" t="n"/>
      <c r="AF27" s="687">
        <f>SUMIF('Jnls Mthly'!$A:$A,'TB Mnthly'!$A27,'Jnls Mthly'!AF:AF)</f>
        <v/>
      </c>
      <c r="AG27" s="687">
        <f>SUMIF('Jnls Mthly'!$A:$A,'TB Mnthly'!$A27,'Jnls Mthly'!AG:AG)</f>
        <v/>
      </c>
      <c r="AH27" s="687">
        <f>SUMIF('Jnls Mthly'!$A:$A,'TB Mnthly'!$A27,'Jnls Mthly'!AH:AH)</f>
        <v/>
      </c>
      <c r="AI27" s="687">
        <f>SUMIF('Jnls Mthly'!$A:$A,'TB Mnthly'!$A27,'Jnls Mthly'!AI:AI)</f>
        <v/>
      </c>
      <c r="AJ27" s="687">
        <f>SUMIF('Jnls Mthly'!$A:$A,'TB Mnthly'!$A27,'Jnls Mthly'!AJ:AJ)</f>
        <v/>
      </c>
      <c r="AK27" s="687">
        <f>SUMIF('Jnls Mthly'!$A:$A,'TB Mnthly'!$A27,'Jnls Mthly'!AK:AK)</f>
        <v/>
      </c>
      <c r="AL27" s="687">
        <f>SUMIF('Jnls Mthly'!$A:$A,'TB Mnthly'!$A27,'Jnls Mthly'!AL:AL)</f>
        <v/>
      </c>
      <c r="AM27" s="687">
        <f>SUMIF('Jnls Mthly'!$A:$A,'TB Mnthly'!$A27,'Jnls Mthly'!AM:AM)</f>
        <v/>
      </c>
      <c r="AN27" s="687">
        <f>SUMIF('Jnls Mthly'!$A:$A,'TB Mnthly'!$A27,'Jnls Mthly'!AN:AN)</f>
        <v/>
      </c>
      <c r="AO27" s="687">
        <f>SUMIF('Jnls Mthly'!$A:$A,'TB Mnthly'!$A27,'Jnls Mthly'!AO:AO)</f>
        <v/>
      </c>
      <c r="AP27" s="687">
        <f>SUMIF('Jnls Mthly'!$A:$A,'TB Mnthly'!$A27,'Jnls Mthly'!AP:AP)</f>
        <v/>
      </c>
      <c r="AQ27" s="687">
        <f>SUMIF('Jnls Mthly'!$A:$A,'TB Mnthly'!$A27,'Jnls Mthly'!AQ:AQ)</f>
        <v/>
      </c>
      <c r="AR27" s="687">
        <f>SUM(AE27:AQ27)</f>
        <v/>
      </c>
      <c r="AS27" s="680" t="n"/>
      <c r="AT27" s="687">
        <f>SUMIF('Jnls Mthly'!$A:$A,'TB Mnthly'!$A27,'Jnls Mthly'!AT:AT)</f>
        <v/>
      </c>
      <c r="AU27" s="687">
        <f>SUMIF('Jnls Mthly'!$A:$A,'TB Mnthly'!$A27,'Jnls Mthly'!AU:AU)</f>
        <v/>
      </c>
      <c r="AV27" s="687">
        <f>SUMIF('Jnls Mthly'!$A:$A,'TB Mnthly'!$A27,'Jnls Mthly'!AV:AV)</f>
        <v/>
      </c>
      <c r="AW27" s="687">
        <f>SUMIF('Jnls Mthly'!$A:$A,'TB Mnthly'!$A27,'Jnls Mthly'!AW:AW)</f>
        <v/>
      </c>
      <c r="AX27" s="687">
        <f>SUMIF('Jnls Mthly'!$A:$A,'TB Mnthly'!$A27,'Jnls Mthly'!AX:AX)</f>
        <v/>
      </c>
      <c r="AY27" s="687">
        <f>SUMIF('Jnls Mthly'!$A:$A,'TB Mnthly'!$A27,'Jnls Mthly'!AY:AY)</f>
        <v/>
      </c>
      <c r="AZ27" s="687">
        <f>SUMIF('Jnls Mthly'!$A:$A,'TB Mnthly'!$A27,'Jnls Mthly'!AZ:AZ)</f>
        <v/>
      </c>
      <c r="BA27" s="687">
        <f>SUMIF('Jnls Mthly'!$A:$A,'TB Mnthly'!$A27,'Jnls Mthly'!BA:BA)</f>
        <v/>
      </c>
      <c r="BB27" s="687">
        <f>SUMIF('Jnls Mthly'!$A:$A,'TB Mnthly'!$A27,'Jnls Mthly'!BB:BB)</f>
        <v/>
      </c>
      <c r="BC27" s="687">
        <f>SUMIF('Jnls Mthly'!$A:$A,'TB Mnthly'!$A27,'Jnls Mthly'!BC:BC)</f>
        <v/>
      </c>
      <c r="BD27" s="687">
        <f>SUMIF('Jnls Mthly'!$A:$A,'TB Mnthly'!$A27,'Jnls Mthly'!BD:BD)</f>
        <v/>
      </c>
      <c r="BE27" s="687">
        <f>SUMIF('Jnls Mthly'!$A:$A,'TB Mnthly'!$A27,'Jnls Mthly'!BE:BE)</f>
        <v/>
      </c>
      <c r="BF27" s="687">
        <f>SUM(AS27:BE27)</f>
        <v/>
      </c>
      <c r="BH27" s="687">
        <f>SUMIF('Jnls Mthly'!$A:$A,'TB Mnthly'!$A27,'Jnls Mthly'!BH:BH)</f>
        <v/>
      </c>
      <c r="BI27" s="687">
        <f>SUMIF('Jnls Mthly'!$A:$A,'TB Mnthly'!$A27,'Jnls Mthly'!BI:BI)</f>
        <v/>
      </c>
      <c r="BJ27" s="687">
        <f>SUMIF('Jnls Mthly'!$A:$A,'TB Mnthly'!$A27,'Jnls Mthly'!BJ:BJ)</f>
        <v/>
      </c>
      <c r="BK27" s="687">
        <f>SUMIF('Jnls Mthly'!$A:$A,'TB Mnthly'!$A27,'Jnls Mthly'!BK:BK)</f>
        <v/>
      </c>
      <c r="BL27" s="687">
        <f>SUMIF('Jnls Mthly'!$A:$A,'TB Mnthly'!$A27,'Jnls Mthly'!BL:BL)</f>
        <v/>
      </c>
      <c r="BM27" s="687">
        <f>SUMIF('Jnls Mthly'!$A:$A,'TB Mnthly'!$A27,'Jnls Mthly'!BM:BM)</f>
        <v/>
      </c>
      <c r="BN27" s="687">
        <f>SUMIF('Jnls Mthly'!$A:$A,'TB Mnthly'!$A27,'Jnls Mthly'!BN:BN)</f>
        <v/>
      </c>
      <c r="BO27" s="687">
        <f>SUMIF('Jnls Mthly'!$A:$A,'TB Mnthly'!$A27,'Jnls Mthly'!BO:BO)</f>
        <v/>
      </c>
      <c r="BP27" s="687">
        <f>SUMIF('Jnls Mthly'!$A:$A,'TB Mnthly'!$A27,'Jnls Mthly'!BP:BP)</f>
        <v/>
      </c>
      <c r="BQ27" s="687">
        <f>SUMIF('Jnls Mthly'!$A:$A,'TB Mnthly'!$A27,'Jnls Mthly'!BQ:BQ)</f>
        <v/>
      </c>
      <c r="BR27" s="687">
        <f>SUMIF('Jnls Mthly'!$A:$A,'TB Mnthly'!$A27,'Jnls Mthly'!BR:BR)</f>
        <v/>
      </c>
      <c r="BS27" s="687">
        <f>SUMIF('Jnls Mthly'!$A:$A,'TB Mnthly'!$A27,'Jnls Mthly'!BS:BS)</f>
        <v/>
      </c>
      <c r="BT27" s="687">
        <f>SUM(BG27:BS27)</f>
        <v/>
      </c>
    </row>
    <row r="28">
      <c r="A28" s="497" t="inlineStr">
        <is>
          <t>Professional and Legal Costs</t>
        </is>
      </c>
      <c r="C28" s="687">
        <f>SUMIF('Jnls Mthly'!$A:$A,'TB Mnthly'!$A28,'Jnls Mthly'!C:C)</f>
        <v/>
      </c>
      <c r="D28" s="687">
        <f>SUMIF('Jnls Mthly'!$A:$A,'TB Mnthly'!$A28,'Jnls Mthly'!D:D)</f>
        <v/>
      </c>
      <c r="E28" s="687">
        <f>SUMIF('Jnls Mthly'!$A:$A,'TB Mnthly'!$A28,'Jnls Mthly'!E:E)</f>
        <v/>
      </c>
      <c r="F28" s="687">
        <f>SUMIF('Jnls Mthly'!$A:$A,'TB Mnthly'!$A28,'Jnls Mthly'!F:F)</f>
        <v/>
      </c>
      <c r="G28" s="687">
        <f>SUMIF('Jnls Mthly'!$A:$A,'TB Mnthly'!$A28,'Jnls Mthly'!G:G)</f>
        <v/>
      </c>
      <c r="H28" s="687">
        <f>SUMIF('Jnls Mthly'!$A:$A,'TB Mnthly'!$A28,'Jnls Mthly'!H:H)</f>
        <v/>
      </c>
      <c r="I28" s="687">
        <f>SUMIF('Jnls Mthly'!$A:$A,'TB Mnthly'!$A28,'Jnls Mthly'!I:I)</f>
        <v/>
      </c>
      <c r="J28" s="687">
        <f>SUMIF('Jnls Mthly'!$A:$A,'TB Mnthly'!$A28,'Jnls Mthly'!J:J)</f>
        <v/>
      </c>
      <c r="K28" s="687">
        <f>SUMIF('Jnls Mthly'!$A:$A,'TB Mnthly'!$A28,'Jnls Mthly'!K:K)</f>
        <v/>
      </c>
      <c r="L28" s="687">
        <f>SUMIF('Jnls Mthly'!$A:$A,'TB Mnthly'!$A28,'Jnls Mthly'!L:L)</f>
        <v/>
      </c>
      <c r="M28" s="687">
        <f>SUMIF('Jnls Mthly'!$A:$A,'TB Mnthly'!$A28,'Jnls Mthly'!M:M)</f>
        <v/>
      </c>
      <c r="N28" s="687">
        <f>SUMIF('Jnls Mthly'!$A:$A,'TB Mnthly'!$A28,'Jnls Mthly'!N:N)</f>
        <v/>
      </c>
      <c r="O28" s="687">
        <f>SUMIF('Jnls Mthly'!$A:$A,'TB Mnthly'!$A28,'Jnls Mthly'!O:O)</f>
        <v/>
      </c>
      <c r="P28" s="687">
        <f>SUM(C28:O28)</f>
        <v/>
      </c>
      <c r="Q28" s="680" t="n"/>
      <c r="R28" s="687">
        <f>SUMIF('Jnls Mthly'!$A:$A,'TB Mnthly'!$A28,'Jnls Mthly'!R:R)</f>
        <v/>
      </c>
      <c r="S28" s="687">
        <f>SUMIF('Jnls Mthly'!$A:$A,'TB Mnthly'!$A28,'Jnls Mthly'!S:S)</f>
        <v/>
      </c>
      <c r="T28" s="687">
        <f>SUMIF('Jnls Mthly'!$A:$A,'TB Mnthly'!$A28,'Jnls Mthly'!T:T)</f>
        <v/>
      </c>
      <c r="U28" s="687">
        <f>SUMIF('Jnls Mthly'!$A:$A,'TB Mnthly'!$A28,'Jnls Mthly'!U:U)</f>
        <v/>
      </c>
      <c r="V28" s="687">
        <f>SUMIF('Jnls Mthly'!$A:$A,'TB Mnthly'!$A28,'Jnls Mthly'!V:V)</f>
        <v/>
      </c>
      <c r="W28" s="687">
        <f>SUMIF('Jnls Mthly'!$A:$A,'TB Mnthly'!$A28,'Jnls Mthly'!W:W)</f>
        <v/>
      </c>
      <c r="X28" s="687">
        <f>SUMIF('Jnls Mthly'!$A:$A,'TB Mnthly'!$A28,'Jnls Mthly'!X:X)</f>
        <v/>
      </c>
      <c r="Y28" s="687">
        <f>SUMIF('Jnls Mthly'!$A:$A,'TB Mnthly'!$A28,'Jnls Mthly'!Y:Y)</f>
        <v/>
      </c>
      <c r="Z28" s="687">
        <f>SUMIF('Jnls Mthly'!$A:$A,'TB Mnthly'!$A28,'Jnls Mthly'!Z:Z)</f>
        <v/>
      </c>
      <c r="AA28" s="687">
        <f>SUMIF('Jnls Mthly'!$A:$A,'TB Mnthly'!$A28,'Jnls Mthly'!AA:AA)</f>
        <v/>
      </c>
      <c r="AB28" s="687">
        <f>SUMIF('Jnls Mthly'!$A:$A,'TB Mnthly'!$A28,'Jnls Mthly'!AB:AB)</f>
        <v/>
      </c>
      <c r="AC28" s="687">
        <f>SUMIF('Jnls Mthly'!$A:$A,'TB Mnthly'!$A28,'Jnls Mthly'!AC:AC)</f>
        <v/>
      </c>
      <c r="AD28" s="687">
        <f>SUM(Q28:AC28)</f>
        <v/>
      </c>
      <c r="AE28" s="680" t="n"/>
      <c r="AF28" s="687">
        <f>SUMIF('Jnls Mthly'!$A:$A,'TB Mnthly'!$A28,'Jnls Mthly'!AF:AF)</f>
        <v/>
      </c>
      <c r="AG28" s="687">
        <f>SUMIF('Jnls Mthly'!$A:$A,'TB Mnthly'!$A28,'Jnls Mthly'!AG:AG)</f>
        <v/>
      </c>
      <c r="AH28" s="687">
        <f>SUMIF('Jnls Mthly'!$A:$A,'TB Mnthly'!$A28,'Jnls Mthly'!AH:AH)</f>
        <v/>
      </c>
      <c r="AI28" s="687">
        <f>SUMIF('Jnls Mthly'!$A:$A,'TB Mnthly'!$A28,'Jnls Mthly'!AI:AI)</f>
        <v/>
      </c>
      <c r="AJ28" s="687">
        <f>SUMIF('Jnls Mthly'!$A:$A,'TB Mnthly'!$A28,'Jnls Mthly'!AJ:AJ)</f>
        <v/>
      </c>
      <c r="AK28" s="687">
        <f>SUMIF('Jnls Mthly'!$A:$A,'TB Mnthly'!$A28,'Jnls Mthly'!AK:AK)</f>
        <v/>
      </c>
      <c r="AL28" s="687">
        <f>SUMIF('Jnls Mthly'!$A:$A,'TB Mnthly'!$A28,'Jnls Mthly'!AL:AL)</f>
        <v/>
      </c>
      <c r="AM28" s="687">
        <f>SUMIF('Jnls Mthly'!$A:$A,'TB Mnthly'!$A28,'Jnls Mthly'!AM:AM)</f>
        <v/>
      </c>
      <c r="AN28" s="687">
        <f>SUMIF('Jnls Mthly'!$A:$A,'TB Mnthly'!$A28,'Jnls Mthly'!AN:AN)</f>
        <v/>
      </c>
      <c r="AO28" s="687">
        <f>SUMIF('Jnls Mthly'!$A:$A,'TB Mnthly'!$A28,'Jnls Mthly'!AO:AO)</f>
        <v/>
      </c>
      <c r="AP28" s="687">
        <f>SUMIF('Jnls Mthly'!$A:$A,'TB Mnthly'!$A28,'Jnls Mthly'!AP:AP)</f>
        <v/>
      </c>
      <c r="AQ28" s="687">
        <f>SUMIF('Jnls Mthly'!$A:$A,'TB Mnthly'!$A28,'Jnls Mthly'!AQ:AQ)</f>
        <v/>
      </c>
      <c r="AR28" s="687">
        <f>SUM(AE28:AQ28)</f>
        <v/>
      </c>
      <c r="AS28" s="680" t="n"/>
      <c r="AT28" s="687">
        <f>SUMIF('Jnls Mthly'!$A:$A,'TB Mnthly'!$A28,'Jnls Mthly'!AT:AT)</f>
        <v/>
      </c>
      <c r="AU28" s="687">
        <f>SUMIF('Jnls Mthly'!$A:$A,'TB Mnthly'!$A28,'Jnls Mthly'!AU:AU)</f>
        <v/>
      </c>
      <c r="AV28" s="687">
        <f>SUMIF('Jnls Mthly'!$A:$A,'TB Mnthly'!$A28,'Jnls Mthly'!AV:AV)</f>
        <v/>
      </c>
      <c r="AW28" s="687">
        <f>SUMIF('Jnls Mthly'!$A:$A,'TB Mnthly'!$A28,'Jnls Mthly'!AW:AW)</f>
        <v/>
      </c>
      <c r="AX28" s="687">
        <f>SUMIF('Jnls Mthly'!$A:$A,'TB Mnthly'!$A28,'Jnls Mthly'!AX:AX)</f>
        <v/>
      </c>
      <c r="AY28" s="687">
        <f>SUMIF('Jnls Mthly'!$A:$A,'TB Mnthly'!$A28,'Jnls Mthly'!AY:AY)</f>
        <v/>
      </c>
      <c r="AZ28" s="687">
        <f>SUMIF('Jnls Mthly'!$A:$A,'TB Mnthly'!$A28,'Jnls Mthly'!AZ:AZ)</f>
        <v/>
      </c>
      <c r="BA28" s="687">
        <f>SUMIF('Jnls Mthly'!$A:$A,'TB Mnthly'!$A28,'Jnls Mthly'!BA:BA)</f>
        <v/>
      </c>
      <c r="BB28" s="687">
        <f>SUMIF('Jnls Mthly'!$A:$A,'TB Mnthly'!$A28,'Jnls Mthly'!BB:BB)</f>
        <v/>
      </c>
      <c r="BC28" s="687">
        <f>SUMIF('Jnls Mthly'!$A:$A,'TB Mnthly'!$A28,'Jnls Mthly'!BC:BC)</f>
        <v/>
      </c>
      <c r="BD28" s="687">
        <f>SUMIF('Jnls Mthly'!$A:$A,'TB Mnthly'!$A28,'Jnls Mthly'!BD:BD)</f>
        <v/>
      </c>
      <c r="BE28" s="687">
        <f>SUMIF('Jnls Mthly'!$A:$A,'TB Mnthly'!$A28,'Jnls Mthly'!BE:BE)</f>
        <v/>
      </c>
      <c r="BF28" s="687">
        <f>SUM(AS28:BE28)</f>
        <v/>
      </c>
      <c r="BH28" s="687">
        <f>SUMIF('Jnls Mthly'!$A:$A,'TB Mnthly'!$A28,'Jnls Mthly'!BH:BH)</f>
        <v/>
      </c>
      <c r="BI28" s="687">
        <f>SUMIF('Jnls Mthly'!$A:$A,'TB Mnthly'!$A28,'Jnls Mthly'!BI:BI)</f>
        <v/>
      </c>
      <c r="BJ28" s="687">
        <f>SUMIF('Jnls Mthly'!$A:$A,'TB Mnthly'!$A28,'Jnls Mthly'!BJ:BJ)</f>
        <v/>
      </c>
      <c r="BK28" s="687">
        <f>SUMIF('Jnls Mthly'!$A:$A,'TB Mnthly'!$A28,'Jnls Mthly'!BK:BK)</f>
        <v/>
      </c>
      <c r="BL28" s="687">
        <f>SUMIF('Jnls Mthly'!$A:$A,'TB Mnthly'!$A28,'Jnls Mthly'!BL:BL)</f>
        <v/>
      </c>
      <c r="BM28" s="687">
        <f>SUMIF('Jnls Mthly'!$A:$A,'TB Mnthly'!$A28,'Jnls Mthly'!BM:BM)</f>
        <v/>
      </c>
      <c r="BN28" s="687">
        <f>SUMIF('Jnls Mthly'!$A:$A,'TB Mnthly'!$A28,'Jnls Mthly'!BN:BN)</f>
        <v/>
      </c>
      <c r="BO28" s="687">
        <f>SUMIF('Jnls Mthly'!$A:$A,'TB Mnthly'!$A28,'Jnls Mthly'!BO:BO)</f>
        <v/>
      </c>
      <c r="BP28" s="687">
        <f>SUMIF('Jnls Mthly'!$A:$A,'TB Mnthly'!$A28,'Jnls Mthly'!BP:BP)</f>
        <v/>
      </c>
      <c r="BQ28" s="687">
        <f>SUMIF('Jnls Mthly'!$A:$A,'TB Mnthly'!$A28,'Jnls Mthly'!BQ:BQ)</f>
        <v/>
      </c>
      <c r="BR28" s="687">
        <f>SUMIF('Jnls Mthly'!$A:$A,'TB Mnthly'!$A28,'Jnls Mthly'!BR:BR)</f>
        <v/>
      </c>
      <c r="BS28" s="687">
        <f>SUMIF('Jnls Mthly'!$A:$A,'TB Mnthly'!$A28,'Jnls Mthly'!BS:BS)</f>
        <v/>
      </c>
      <c r="BT28" s="687">
        <f>SUM(BG28:BS28)</f>
        <v/>
      </c>
    </row>
    <row r="29">
      <c r="A29" s="497" t="inlineStr">
        <is>
          <t>Insurances</t>
        </is>
      </c>
      <c r="C29" s="687">
        <f>SUMIF('Jnls Mthly'!$A:$A,'TB Mnthly'!$A29,'Jnls Mthly'!C:C)</f>
        <v/>
      </c>
      <c r="D29" s="687">
        <f>SUMIF('Jnls Mthly'!$A:$A,'TB Mnthly'!$A29,'Jnls Mthly'!D:D)</f>
        <v/>
      </c>
      <c r="E29" s="687">
        <f>SUMIF('Jnls Mthly'!$A:$A,'TB Mnthly'!$A29,'Jnls Mthly'!E:E)</f>
        <v/>
      </c>
      <c r="F29" s="687">
        <f>SUMIF('Jnls Mthly'!$A:$A,'TB Mnthly'!$A29,'Jnls Mthly'!F:F)</f>
        <v/>
      </c>
      <c r="G29" s="687">
        <f>SUMIF('Jnls Mthly'!$A:$A,'TB Mnthly'!$A29,'Jnls Mthly'!G:G)</f>
        <v/>
      </c>
      <c r="H29" s="687">
        <f>SUMIF('Jnls Mthly'!$A:$A,'TB Mnthly'!$A29,'Jnls Mthly'!H:H)</f>
        <v/>
      </c>
      <c r="I29" s="687">
        <f>SUMIF('Jnls Mthly'!$A:$A,'TB Mnthly'!$A29,'Jnls Mthly'!I:I)</f>
        <v/>
      </c>
      <c r="J29" s="687">
        <f>SUMIF('Jnls Mthly'!$A:$A,'TB Mnthly'!$A29,'Jnls Mthly'!J:J)</f>
        <v/>
      </c>
      <c r="K29" s="687">
        <f>SUMIF('Jnls Mthly'!$A:$A,'TB Mnthly'!$A29,'Jnls Mthly'!K:K)</f>
        <v/>
      </c>
      <c r="L29" s="687">
        <f>SUMIF('Jnls Mthly'!$A:$A,'TB Mnthly'!$A29,'Jnls Mthly'!L:L)</f>
        <v/>
      </c>
      <c r="M29" s="687">
        <f>SUMIF('Jnls Mthly'!$A:$A,'TB Mnthly'!$A29,'Jnls Mthly'!M:M)</f>
        <v/>
      </c>
      <c r="N29" s="687">
        <f>SUMIF('Jnls Mthly'!$A:$A,'TB Mnthly'!$A29,'Jnls Mthly'!N:N)</f>
        <v/>
      </c>
      <c r="O29" s="687">
        <f>SUMIF('Jnls Mthly'!$A:$A,'TB Mnthly'!$A29,'Jnls Mthly'!O:O)</f>
        <v/>
      </c>
      <c r="P29" s="687">
        <f>SUM(C29:O29)</f>
        <v/>
      </c>
      <c r="Q29" s="680" t="n"/>
      <c r="R29" s="687">
        <f>SUMIF('Jnls Mthly'!$A:$A,'TB Mnthly'!$A29,'Jnls Mthly'!R:R)</f>
        <v/>
      </c>
      <c r="S29" s="687">
        <f>SUMIF('Jnls Mthly'!$A:$A,'TB Mnthly'!$A29,'Jnls Mthly'!S:S)</f>
        <v/>
      </c>
      <c r="T29" s="687">
        <f>SUMIF('Jnls Mthly'!$A:$A,'TB Mnthly'!$A29,'Jnls Mthly'!T:T)</f>
        <v/>
      </c>
      <c r="U29" s="687">
        <f>SUMIF('Jnls Mthly'!$A:$A,'TB Mnthly'!$A29,'Jnls Mthly'!U:U)</f>
        <v/>
      </c>
      <c r="V29" s="687">
        <f>SUMIF('Jnls Mthly'!$A:$A,'TB Mnthly'!$A29,'Jnls Mthly'!V:V)</f>
        <v/>
      </c>
      <c r="W29" s="687">
        <f>SUMIF('Jnls Mthly'!$A:$A,'TB Mnthly'!$A29,'Jnls Mthly'!W:W)</f>
        <v/>
      </c>
      <c r="X29" s="687">
        <f>SUMIF('Jnls Mthly'!$A:$A,'TB Mnthly'!$A29,'Jnls Mthly'!X:X)</f>
        <v/>
      </c>
      <c r="Y29" s="687">
        <f>SUMIF('Jnls Mthly'!$A:$A,'TB Mnthly'!$A29,'Jnls Mthly'!Y:Y)</f>
        <v/>
      </c>
      <c r="Z29" s="687">
        <f>SUMIF('Jnls Mthly'!$A:$A,'TB Mnthly'!$A29,'Jnls Mthly'!Z:Z)</f>
        <v/>
      </c>
      <c r="AA29" s="687">
        <f>SUMIF('Jnls Mthly'!$A:$A,'TB Mnthly'!$A29,'Jnls Mthly'!AA:AA)</f>
        <v/>
      </c>
      <c r="AB29" s="687">
        <f>SUMIF('Jnls Mthly'!$A:$A,'TB Mnthly'!$A29,'Jnls Mthly'!AB:AB)</f>
        <v/>
      </c>
      <c r="AC29" s="687">
        <f>SUMIF('Jnls Mthly'!$A:$A,'TB Mnthly'!$A29,'Jnls Mthly'!AC:AC)</f>
        <v/>
      </c>
      <c r="AD29" s="687">
        <f>SUM(Q29:AC29)</f>
        <v/>
      </c>
      <c r="AE29" s="680" t="n"/>
      <c r="AF29" s="687">
        <f>SUMIF('Jnls Mthly'!$A:$A,'TB Mnthly'!$A29,'Jnls Mthly'!AF:AF)</f>
        <v/>
      </c>
      <c r="AG29" s="687">
        <f>SUMIF('Jnls Mthly'!$A:$A,'TB Mnthly'!$A29,'Jnls Mthly'!AG:AG)</f>
        <v/>
      </c>
      <c r="AH29" s="687">
        <f>SUMIF('Jnls Mthly'!$A:$A,'TB Mnthly'!$A29,'Jnls Mthly'!AH:AH)</f>
        <v/>
      </c>
      <c r="AI29" s="687">
        <f>SUMIF('Jnls Mthly'!$A:$A,'TB Mnthly'!$A29,'Jnls Mthly'!AI:AI)</f>
        <v/>
      </c>
      <c r="AJ29" s="687">
        <f>SUMIF('Jnls Mthly'!$A:$A,'TB Mnthly'!$A29,'Jnls Mthly'!AJ:AJ)</f>
        <v/>
      </c>
      <c r="AK29" s="687">
        <f>SUMIF('Jnls Mthly'!$A:$A,'TB Mnthly'!$A29,'Jnls Mthly'!AK:AK)</f>
        <v/>
      </c>
      <c r="AL29" s="687">
        <f>SUMIF('Jnls Mthly'!$A:$A,'TB Mnthly'!$A29,'Jnls Mthly'!AL:AL)</f>
        <v/>
      </c>
      <c r="AM29" s="687">
        <f>SUMIF('Jnls Mthly'!$A:$A,'TB Mnthly'!$A29,'Jnls Mthly'!AM:AM)</f>
        <v/>
      </c>
      <c r="AN29" s="687">
        <f>SUMIF('Jnls Mthly'!$A:$A,'TB Mnthly'!$A29,'Jnls Mthly'!AN:AN)</f>
        <v/>
      </c>
      <c r="AO29" s="687">
        <f>SUMIF('Jnls Mthly'!$A:$A,'TB Mnthly'!$A29,'Jnls Mthly'!AO:AO)</f>
        <v/>
      </c>
      <c r="AP29" s="687">
        <f>SUMIF('Jnls Mthly'!$A:$A,'TB Mnthly'!$A29,'Jnls Mthly'!AP:AP)</f>
        <v/>
      </c>
      <c r="AQ29" s="687">
        <f>SUMIF('Jnls Mthly'!$A:$A,'TB Mnthly'!$A29,'Jnls Mthly'!AQ:AQ)</f>
        <v/>
      </c>
      <c r="AR29" s="687">
        <f>SUM(AE29:AQ29)</f>
        <v/>
      </c>
      <c r="AS29" s="680" t="n"/>
      <c r="AT29" s="687">
        <f>SUMIF('Jnls Mthly'!$A:$A,'TB Mnthly'!$A29,'Jnls Mthly'!AT:AT)</f>
        <v/>
      </c>
      <c r="AU29" s="687">
        <f>SUMIF('Jnls Mthly'!$A:$A,'TB Mnthly'!$A29,'Jnls Mthly'!AU:AU)</f>
        <v/>
      </c>
      <c r="AV29" s="687">
        <f>SUMIF('Jnls Mthly'!$A:$A,'TB Mnthly'!$A29,'Jnls Mthly'!AV:AV)</f>
        <v/>
      </c>
      <c r="AW29" s="687">
        <f>SUMIF('Jnls Mthly'!$A:$A,'TB Mnthly'!$A29,'Jnls Mthly'!AW:AW)</f>
        <v/>
      </c>
      <c r="AX29" s="687">
        <f>SUMIF('Jnls Mthly'!$A:$A,'TB Mnthly'!$A29,'Jnls Mthly'!AX:AX)</f>
        <v/>
      </c>
      <c r="AY29" s="687">
        <f>SUMIF('Jnls Mthly'!$A:$A,'TB Mnthly'!$A29,'Jnls Mthly'!AY:AY)</f>
        <v/>
      </c>
      <c r="AZ29" s="687">
        <f>SUMIF('Jnls Mthly'!$A:$A,'TB Mnthly'!$A29,'Jnls Mthly'!AZ:AZ)</f>
        <v/>
      </c>
      <c r="BA29" s="687">
        <f>SUMIF('Jnls Mthly'!$A:$A,'TB Mnthly'!$A29,'Jnls Mthly'!BA:BA)</f>
        <v/>
      </c>
      <c r="BB29" s="687">
        <f>SUMIF('Jnls Mthly'!$A:$A,'TB Mnthly'!$A29,'Jnls Mthly'!BB:BB)</f>
        <v/>
      </c>
      <c r="BC29" s="687">
        <f>SUMIF('Jnls Mthly'!$A:$A,'TB Mnthly'!$A29,'Jnls Mthly'!BC:BC)</f>
        <v/>
      </c>
      <c r="BD29" s="687">
        <f>SUMIF('Jnls Mthly'!$A:$A,'TB Mnthly'!$A29,'Jnls Mthly'!BD:BD)</f>
        <v/>
      </c>
      <c r="BE29" s="687">
        <f>SUMIF('Jnls Mthly'!$A:$A,'TB Mnthly'!$A29,'Jnls Mthly'!BE:BE)</f>
        <v/>
      </c>
      <c r="BF29" s="687">
        <f>SUM(AS29:BE29)</f>
        <v/>
      </c>
      <c r="BH29" s="687">
        <f>SUMIF('Jnls Mthly'!$A:$A,'TB Mnthly'!$A29,'Jnls Mthly'!BH:BH)</f>
        <v/>
      </c>
      <c r="BI29" s="687">
        <f>SUMIF('Jnls Mthly'!$A:$A,'TB Mnthly'!$A29,'Jnls Mthly'!BI:BI)</f>
        <v/>
      </c>
      <c r="BJ29" s="687">
        <f>SUMIF('Jnls Mthly'!$A:$A,'TB Mnthly'!$A29,'Jnls Mthly'!BJ:BJ)</f>
        <v/>
      </c>
      <c r="BK29" s="687">
        <f>SUMIF('Jnls Mthly'!$A:$A,'TB Mnthly'!$A29,'Jnls Mthly'!BK:BK)</f>
        <v/>
      </c>
      <c r="BL29" s="687">
        <f>SUMIF('Jnls Mthly'!$A:$A,'TB Mnthly'!$A29,'Jnls Mthly'!BL:BL)</f>
        <v/>
      </c>
      <c r="BM29" s="687">
        <f>SUMIF('Jnls Mthly'!$A:$A,'TB Mnthly'!$A29,'Jnls Mthly'!BM:BM)</f>
        <v/>
      </c>
      <c r="BN29" s="687">
        <f>SUMIF('Jnls Mthly'!$A:$A,'TB Mnthly'!$A29,'Jnls Mthly'!BN:BN)</f>
        <v/>
      </c>
      <c r="BO29" s="687">
        <f>SUMIF('Jnls Mthly'!$A:$A,'TB Mnthly'!$A29,'Jnls Mthly'!BO:BO)</f>
        <v/>
      </c>
      <c r="BP29" s="687">
        <f>SUMIF('Jnls Mthly'!$A:$A,'TB Mnthly'!$A29,'Jnls Mthly'!BP:BP)</f>
        <v/>
      </c>
      <c r="BQ29" s="687">
        <f>SUMIF('Jnls Mthly'!$A:$A,'TB Mnthly'!$A29,'Jnls Mthly'!BQ:BQ)</f>
        <v/>
      </c>
      <c r="BR29" s="687">
        <f>SUMIF('Jnls Mthly'!$A:$A,'TB Mnthly'!$A29,'Jnls Mthly'!BR:BR)</f>
        <v/>
      </c>
      <c r="BS29" s="687">
        <f>SUMIF('Jnls Mthly'!$A:$A,'TB Mnthly'!$A29,'Jnls Mthly'!BS:BS)</f>
        <v/>
      </c>
      <c r="BT29" s="687">
        <f>SUM(BG29:BS29)</f>
        <v/>
      </c>
    </row>
    <row r="30">
      <c r="A30" s="497" t="inlineStr">
        <is>
          <t>Bank Charges</t>
        </is>
      </c>
      <c r="C30" s="687">
        <f>SUMIF('Jnls Mthly'!$A:$A,'TB Mnthly'!$A30,'Jnls Mthly'!C:C)</f>
        <v/>
      </c>
      <c r="D30" s="687">
        <f>SUMIF('Jnls Mthly'!$A:$A,'TB Mnthly'!$A30,'Jnls Mthly'!D:D)</f>
        <v/>
      </c>
      <c r="E30" s="687">
        <f>SUMIF('Jnls Mthly'!$A:$A,'TB Mnthly'!$A30,'Jnls Mthly'!E:E)</f>
        <v/>
      </c>
      <c r="F30" s="687">
        <f>SUMIF('Jnls Mthly'!$A:$A,'TB Mnthly'!$A30,'Jnls Mthly'!F:F)</f>
        <v/>
      </c>
      <c r="G30" s="687">
        <f>SUMIF('Jnls Mthly'!$A:$A,'TB Mnthly'!$A30,'Jnls Mthly'!G:G)</f>
        <v/>
      </c>
      <c r="H30" s="687">
        <f>SUMIF('Jnls Mthly'!$A:$A,'TB Mnthly'!$A30,'Jnls Mthly'!H:H)</f>
        <v/>
      </c>
      <c r="I30" s="687">
        <f>SUMIF('Jnls Mthly'!$A:$A,'TB Mnthly'!$A30,'Jnls Mthly'!I:I)</f>
        <v/>
      </c>
      <c r="J30" s="687">
        <f>SUMIF('Jnls Mthly'!$A:$A,'TB Mnthly'!$A30,'Jnls Mthly'!J:J)</f>
        <v/>
      </c>
      <c r="K30" s="687">
        <f>SUMIF('Jnls Mthly'!$A:$A,'TB Mnthly'!$A30,'Jnls Mthly'!K:K)</f>
        <v/>
      </c>
      <c r="L30" s="687">
        <f>SUMIF('Jnls Mthly'!$A:$A,'TB Mnthly'!$A30,'Jnls Mthly'!L:L)</f>
        <v/>
      </c>
      <c r="M30" s="687">
        <f>SUMIF('Jnls Mthly'!$A:$A,'TB Mnthly'!$A30,'Jnls Mthly'!M:M)</f>
        <v/>
      </c>
      <c r="N30" s="687">
        <f>SUMIF('Jnls Mthly'!$A:$A,'TB Mnthly'!$A30,'Jnls Mthly'!N:N)</f>
        <v/>
      </c>
      <c r="O30" s="687">
        <f>SUMIF('Jnls Mthly'!$A:$A,'TB Mnthly'!$A30,'Jnls Mthly'!O:O)</f>
        <v/>
      </c>
      <c r="P30" s="687">
        <f>SUM(C30:O30)</f>
        <v/>
      </c>
      <c r="Q30" s="680" t="n"/>
      <c r="R30" s="687">
        <f>SUMIF('Jnls Mthly'!$A:$A,'TB Mnthly'!$A30,'Jnls Mthly'!R:R)</f>
        <v/>
      </c>
      <c r="S30" s="687">
        <f>SUMIF('Jnls Mthly'!$A:$A,'TB Mnthly'!$A30,'Jnls Mthly'!S:S)</f>
        <v/>
      </c>
      <c r="T30" s="687">
        <f>SUMIF('Jnls Mthly'!$A:$A,'TB Mnthly'!$A30,'Jnls Mthly'!T:T)</f>
        <v/>
      </c>
      <c r="U30" s="687">
        <f>SUMIF('Jnls Mthly'!$A:$A,'TB Mnthly'!$A30,'Jnls Mthly'!U:U)</f>
        <v/>
      </c>
      <c r="V30" s="687">
        <f>SUMIF('Jnls Mthly'!$A:$A,'TB Mnthly'!$A30,'Jnls Mthly'!V:V)</f>
        <v/>
      </c>
      <c r="W30" s="687">
        <f>SUMIF('Jnls Mthly'!$A:$A,'TB Mnthly'!$A30,'Jnls Mthly'!W:W)</f>
        <v/>
      </c>
      <c r="X30" s="687">
        <f>SUMIF('Jnls Mthly'!$A:$A,'TB Mnthly'!$A30,'Jnls Mthly'!X:X)</f>
        <v/>
      </c>
      <c r="Y30" s="687">
        <f>SUMIF('Jnls Mthly'!$A:$A,'TB Mnthly'!$A30,'Jnls Mthly'!Y:Y)</f>
        <v/>
      </c>
      <c r="Z30" s="687">
        <f>SUMIF('Jnls Mthly'!$A:$A,'TB Mnthly'!$A30,'Jnls Mthly'!Z:Z)</f>
        <v/>
      </c>
      <c r="AA30" s="687">
        <f>SUMIF('Jnls Mthly'!$A:$A,'TB Mnthly'!$A30,'Jnls Mthly'!AA:AA)</f>
        <v/>
      </c>
      <c r="AB30" s="687">
        <f>SUMIF('Jnls Mthly'!$A:$A,'TB Mnthly'!$A30,'Jnls Mthly'!AB:AB)</f>
        <v/>
      </c>
      <c r="AC30" s="687">
        <f>SUMIF('Jnls Mthly'!$A:$A,'TB Mnthly'!$A30,'Jnls Mthly'!AC:AC)</f>
        <v/>
      </c>
      <c r="AD30" s="687">
        <f>SUM(Q30:AC30)</f>
        <v/>
      </c>
      <c r="AE30" s="680" t="n"/>
      <c r="AF30" s="687">
        <f>SUMIF('Jnls Mthly'!$A:$A,'TB Mnthly'!$A30,'Jnls Mthly'!AF:AF)</f>
        <v/>
      </c>
      <c r="AG30" s="687">
        <f>SUMIF('Jnls Mthly'!$A:$A,'TB Mnthly'!$A30,'Jnls Mthly'!AG:AG)</f>
        <v/>
      </c>
      <c r="AH30" s="687">
        <f>SUMIF('Jnls Mthly'!$A:$A,'TB Mnthly'!$A30,'Jnls Mthly'!AH:AH)</f>
        <v/>
      </c>
      <c r="AI30" s="687">
        <f>SUMIF('Jnls Mthly'!$A:$A,'TB Mnthly'!$A30,'Jnls Mthly'!AI:AI)</f>
        <v/>
      </c>
      <c r="AJ30" s="687">
        <f>SUMIF('Jnls Mthly'!$A:$A,'TB Mnthly'!$A30,'Jnls Mthly'!AJ:AJ)</f>
        <v/>
      </c>
      <c r="AK30" s="687">
        <f>SUMIF('Jnls Mthly'!$A:$A,'TB Mnthly'!$A30,'Jnls Mthly'!AK:AK)</f>
        <v/>
      </c>
      <c r="AL30" s="687">
        <f>SUMIF('Jnls Mthly'!$A:$A,'TB Mnthly'!$A30,'Jnls Mthly'!AL:AL)</f>
        <v/>
      </c>
      <c r="AM30" s="687">
        <f>SUMIF('Jnls Mthly'!$A:$A,'TB Mnthly'!$A30,'Jnls Mthly'!AM:AM)</f>
        <v/>
      </c>
      <c r="AN30" s="687">
        <f>SUMIF('Jnls Mthly'!$A:$A,'TB Mnthly'!$A30,'Jnls Mthly'!AN:AN)</f>
        <v/>
      </c>
      <c r="AO30" s="687">
        <f>SUMIF('Jnls Mthly'!$A:$A,'TB Mnthly'!$A30,'Jnls Mthly'!AO:AO)</f>
        <v/>
      </c>
      <c r="AP30" s="687">
        <f>SUMIF('Jnls Mthly'!$A:$A,'TB Mnthly'!$A30,'Jnls Mthly'!AP:AP)</f>
        <v/>
      </c>
      <c r="AQ30" s="687">
        <f>SUMIF('Jnls Mthly'!$A:$A,'TB Mnthly'!$A30,'Jnls Mthly'!AQ:AQ)</f>
        <v/>
      </c>
      <c r="AR30" s="687">
        <f>SUM(AE30:AQ30)</f>
        <v/>
      </c>
      <c r="AS30" s="680" t="n"/>
      <c r="AT30" s="687">
        <f>SUMIF('Jnls Mthly'!$A:$A,'TB Mnthly'!$A30,'Jnls Mthly'!AT:AT)</f>
        <v/>
      </c>
      <c r="AU30" s="687">
        <f>SUMIF('Jnls Mthly'!$A:$A,'TB Mnthly'!$A30,'Jnls Mthly'!AU:AU)</f>
        <v/>
      </c>
      <c r="AV30" s="687">
        <f>SUMIF('Jnls Mthly'!$A:$A,'TB Mnthly'!$A30,'Jnls Mthly'!AV:AV)</f>
        <v/>
      </c>
      <c r="AW30" s="687">
        <f>SUMIF('Jnls Mthly'!$A:$A,'TB Mnthly'!$A30,'Jnls Mthly'!AW:AW)</f>
        <v/>
      </c>
      <c r="AX30" s="687">
        <f>SUMIF('Jnls Mthly'!$A:$A,'TB Mnthly'!$A30,'Jnls Mthly'!AX:AX)</f>
        <v/>
      </c>
      <c r="AY30" s="687">
        <f>SUMIF('Jnls Mthly'!$A:$A,'TB Mnthly'!$A30,'Jnls Mthly'!AY:AY)</f>
        <v/>
      </c>
      <c r="AZ30" s="687">
        <f>SUMIF('Jnls Mthly'!$A:$A,'TB Mnthly'!$A30,'Jnls Mthly'!AZ:AZ)</f>
        <v/>
      </c>
      <c r="BA30" s="687">
        <f>SUMIF('Jnls Mthly'!$A:$A,'TB Mnthly'!$A30,'Jnls Mthly'!BA:BA)</f>
        <v/>
      </c>
      <c r="BB30" s="687">
        <f>SUMIF('Jnls Mthly'!$A:$A,'TB Mnthly'!$A30,'Jnls Mthly'!BB:BB)</f>
        <v/>
      </c>
      <c r="BC30" s="687">
        <f>SUMIF('Jnls Mthly'!$A:$A,'TB Mnthly'!$A30,'Jnls Mthly'!BC:BC)</f>
        <v/>
      </c>
      <c r="BD30" s="687">
        <f>SUMIF('Jnls Mthly'!$A:$A,'TB Mnthly'!$A30,'Jnls Mthly'!BD:BD)</f>
        <v/>
      </c>
      <c r="BE30" s="687">
        <f>SUMIF('Jnls Mthly'!$A:$A,'TB Mnthly'!$A30,'Jnls Mthly'!BE:BE)</f>
        <v/>
      </c>
      <c r="BF30" s="687">
        <f>SUM(AS30:BE30)</f>
        <v/>
      </c>
      <c r="BH30" s="687">
        <f>SUMIF('Jnls Mthly'!$A:$A,'TB Mnthly'!$A30,'Jnls Mthly'!BH:BH)</f>
        <v/>
      </c>
      <c r="BI30" s="687">
        <f>SUMIF('Jnls Mthly'!$A:$A,'TB Mnthly'!$A30,'Jnls Mthly'!BI:BI)</f>
        <v/>
      </c>
      <c r="BJ30" s="687">
        <f>SUMIF('Jnls Mthly'!$A:$A,'TB Mnthly'!$A30,'Jnls Mthly'!BJ:BJ)</f>
        <v/>
      </c>
      <c r="BK30" s="687">
        <f>SUMIF('Jnls Mthly'!$A:$A,'TB Mnthly'!$A30,'Jnls Mthly'!BK:BK)</f>
        <v/>
      </c>
      <c r="BL30" s="687">
        <f>SUMIF('Jnls Mthly'!$A:$A,'TB Mnthly'!$A30,'Jnls Mthly'!BL:BL)</f>
        <v/>
      </c>
      <c r="BM30" s="687">
        <f>SUMIF('Jnls Mthly'!$A:$A,'TB Mnthly'!$A30,'Jnls Mthly'!BM:BM)</f>
        <v/>
      </c>
      <c r="BN30" s="687">
        <f>SUMIF('Jnls Mthly'!$A:$A,'TB Mnthly'!$A30,'Jnls Mthly'!BN:BN)</f>
        <v/>
      </c>
      <c r="BO30" s="687">
        <f>SUMIF('Jnls Mthly'!$A:$A,'TB Mnthly'!$A30,'Jnls Mthly'!BO:BO)</f>
        <v/>
      </c>
      <c r="BP30" s="687">
        <f>SUMIF('Jnls Mthly'!$A:$A,'TB Mnthly'!$A30,'Jnls Mthly'!BP:BP)</f>
        <v/>
      </c>
      <c r="BQ30" s="687">
        <f>SUMIF('Jnls Mthly'!$A:$A,'TB Mnthly'!$A30,'Jnls Mthly'!BQ:BQ)</f>
        <v/>
      </c>
      <c r="BR30" s="687">
        <f>SUMIF('Jnls Mthly'!$A:$A,'TB Mnthly'!$A30,'Jnls Mthly'!BR:BR)</f>
        <v/>
      </c>
      <c r="BS30" s="687">
        <f>SUMIF('Jnls Mthly'!$A:$A,'TB Mnthly'!$A30,'Jnls Mthly'!BS:BS)</f>
        <v/>
      </c>
      <c r="BT30" s="687">
        <f>SUM(BG30:BS30)</f>
        <v/>
      </c>
    </row>
    <row r="31">
      <c r="A31" s="497" t="inlineStr">
        <is>
          <t>Depreciation</t>
        </is>
      </c>
      <c r="C31" s="687">
        <f>SUMIF('Jnls Mthly'!$A:$A,'TB Mnthly'!$A31,'Jnls Mthly'!C:C)</f>
        <v/>
      </c>
      <c r="D31" s="687">
        <f>SUMIF('Jnls Mthly'!$A:$A,'TB Mnthly'!$A31,'Jnls Mthly'!D:D)</f>
        <v/>
      </c>
      <c r="E31" s="687">
        <f>SUMIF('Jnls Mthly'!$A:$A,'TB Mnthly'!$A31,'Jnls Mthly'!E:E)</f>
        <v/>
      </c>
      <c r="F31" s="687">
        <f>SUMIF('Jnls Mthly'!$A:$A,'TB Mnthly'!$A31,'Jnls Mthly'!F:F)</f>
        <v/>
      </c>
      <c r="G31" s="687">
        <f>SUMIF('Jnls Mthly'!$A:$A,'TB Mnthly'!$A31,'Jnls Mthly'!G:G)</f>
        <v/>
      </c>
      <c r="H31" s="687">
        <f>SUMIF('Jnls Mthly'!$A:$A,'TB Mnthly'!$A31,'Jnls Mthly'!H:H)</f>
        <v/>
      </c>
      <c r="I31" s="687">
        <f>SUMIF('Jnls Mthly'!$A:$A,'TB Mnthly'!$A31,'Jnls Mthly'!I:I)</f>
        <v/>
      </c>
      <c r="J31" s="687">
        <f>SUMIF('Jnls Mthly'!$A:$A,'TB Mnthly'!$A31,'Jnls Mthly'!J:J)</f>
        <v/>
      </c>
      <c r="K31" s="687">
        <f>SUMIF('Jnls Mthly'!$A:$A,'TB Mnthly'!$A31,'Jnls Mthly'!K:K)</f>
        <v/>
      </c>
      <c r="L31" s="687">
        <f>SUMIF('Jnls Mthly'!$A:$A,'TB Mnthly'!$A31,'Jnls Mthly'!L:L)</f>
        <v/>
      </c>
      <c r="M31" s="687">
        <f>SUMIF('Jnls Mthly'!$A:$A,'TB Mnthly'!$A31,'Jnls Mthly'!M:M)</f>
        <v/>
      </c>
      <c r="N31" s="687">
        <f>SUMIF('Jnls Mthly'!$A:$A,'TB Mnthly'!$A31,'Jnls Mthly'!N:N)</f>
        <v/>
      </c>
      <c r="O31" s="687">
        <f>SUMIF('Jnls Mthly'!$A:$A,'TB Mnthly'!$A31,'Jnls Mthly'!O:O)</f>
        <v/>
      </c>
      <c r="P31" s="687">
        <f>SUM(C31:O31)</f>
        <v/>
      </c>
      <c r="Q31" s="680" t="n"/>
      <c r="R31" s="687">
        <f>SUMIF('Jnls Mthly'!$A:$A,'TB Mnthly'!$A31,'Jnls Mthly'!R:R)</f>
        <v/>
      </c>
      <c r="S31" s="687">
        <f>SUMIF('Jnls Mthly'!$A:$A,'TB Mnthly'!$A31,'Jnls Mthly'!S:S)</f>
        <v/>
      </c>
      <c r="T31" s="687">
        <f>SUMIF('Jnls Mthly'!$A:$A,'TB Mnthly'!$A31,'Jnls Mthly'!T:T)</f>
        <v/>
      </c>
      <c r="U31" s="687">
        <f>SUMIF('Jnls Mthly'!$A:$A,'TB Mnthly'!$A31,'Jnls Mthly'!U:U)</f>
        <v/>
      </c>
      <c r="V31" s="687">
        <f>SUMIF('Jnls Mthly'!$A:$A,'TB Mnthly'!$A31,'Jnls Mthly'!V:V)</f>
        <v/>
      </c>
      <c r="W31" s="687">
        <f>SUMIF('Jnls Mthly'!$A:$A,'TB Mnthly'!$A31,'Jnls Mthly'!W:W)</f>
        <v/>
      </c>
      <c r="X31" s="687">
        <f>SUMIF('Jnls Mthly'!$A:$A,'TB Mnthly'!$A31,'Jnls Mthly'!X:X)</f>
        <v/>
      </c>
      <c r="Y31" s="687">
        <f>SUMIF('Jnls Mthly'!$A:$A,'TB Mnthly'!$A31,'Jnls Mthly'!Y:Y)</f>
        <v/>
      </c>
      <c r="Z31" s="687">
        <f>SUMIF('Jnls Mthly'!$A:$A,'TB Mnthly'!$A31,'Jnls Mthly'!Z:Z)</f>
        <v/>
      </c>
      <c r="AA31" s="687">
        <f>SUMIF('Jnls Mthly'!$A:$A,'TB Mnthly'!$A31,'Jnls Mthly'!AA:AA)</f>
        <v/>
      </c>
      <c r="AB31" s="687">
        <f>SUMIF('Jnls Mthly'!$A:$A,'TB Mnthly'!$A31,'Jnls Mthly'!AB:AB)</f>
        <v/>
      </c>
      <c r="AC31" s="687">
        <f>SUMIF('Jnls Mthly'!$A:$A,'TB Mnthly'!$A31,'Jnls Mthly'!AC:AC)</f>
        <v/>
      </c>
      <c r="AD31" s="687">
        <f>SUM(Q31:AC31)</f>
        <v/>
      </c>
      <c r="AE31" s="680" t="n"/>
      <c r="AF31" s="687">
        <f>SUMIF('Jnls Mthly'!$A:$A,'TB Mnthly'!$A31,'Jnls Mthly'!AF:AF)</f>
        <v/>
      </c>
      <c r="AG31" s="687">
        <f>SUMIF('Jnls Mthly'!$A:$A,'TB Mnthly'!$A31,'Jnls Mthly'!AG:AG)</f>
        <v/>
      </c>
      <c r="AH31" s="687">
        <f>SUMIF('Jnls Mthly'!$A:$A,'TB Mnthly'!$A31,'Jnls Mthly'!AH:AH)</f>
        <v/>
      </c>
      <c r="AI31" s="687">
        <f>SUMIF('Jnls Mthly'!$A:$A,'TB Mnthly'!$A31,'Jnls Mthly'!AI:AI)</f>
        <v/>
      </c>
      <c r="AJ31" s="687">
        <f>SUMIF('Jnls Mthly'!$A:$A,'TB Mnthly'!$A31,'Jnls Mthly'!AJ:AJ)</f>
        <v/>
      </c>
      <c r="AK31" s="687">
        <f>SUMIF('Jnls Mthly'!$A:$A,'TB Mnthly'!$A31,'Jnls Mthly'!AK:AK)</f>
        <v/>
      </c>
      <c r="AL31" s="687">
        <f>SUMIF('Jnls Mthly'!$A:$A,'TB Mnthly'!$A31,'Jnls Mthly'!AL:AL)</f>
        <v/>
      </c>
      <c r="AM31" s="687">
        <f>SUMIF('Jnls Mthly'!$A:$A,'TB Mnthly'!$A31,'Jnls Mthly'!AM:AM)</f>
        <v/>
      </c>
      <c r="AN31" s="687">
        <f>SUMIF('Jnls Mthly'!$A:$A,'TB Mnthly'!$A31,'Jnls Mthly'!AN:AN)</f>
        <v/>
      </c>
      <c r="AO31" s="687">
        <f>SUMIF('Jnls Mthly'!$A:$A,'TB Mnthly'!$A31,'Jnls Mthly'!AO:AO)</f>
        <v/>
      </c>
      <c r="AP31" s="687">
        <f>SUMIF('Jnls Mthly'!$A:$A,'TB Mnthly'!$A31,'Jnls Mthly'!AP:AP)</f>
        <v/>
      </c>
      <c r="AQ31" s="687">
        <f>SUMIF('Jnls Mthly'!$A:$A,'TB Mnthly'!$A31,'Jnls Mthly'!AQ:AQ)</f>
        <v/>
      </c>
      <c r="AR31" s="687">
        <f>SUM(AE31:AQ31)</f>
        <v/>
      </c>
      <c r="AS31" s="680" t="n"/>
      <c r="AT31" s="687">
        <f>SUMIF('Jnls Mthly'!$A:$A,'TB Mnthly'!$A31,'Jnls Mthly'!AT:AT)</f>
        <v/>
      </c>
      <c r="AU31" s="687">
        <f>SUMIF('Jnls Mthly'!$A:$A,'TB Mnthly'!$A31,'Jnls Mthly'!AU:AU)</f>
        <v/>
      </c>
      <c r="AV31" s="687">
        <f>SUMIF('Jnls Mthly'!$A:$A,'TB Mnthly'!$A31,'Jnls Mthly'!AV:AV)</f>
        <v/>
      </c>
      <c r="AW31" s="687">
        <f>SUMIF('Jnls Mthly'!$A:$A,'TB Mnthly'!$A31,'Jnls Mthly'!AW:AW)</f>
        <v/>
      </c>
      <c r="AX31" s="687">
        <f>SUMIF('Jnls Mthly'!$A:$A,'TB Mnthly'!$A31,'Jnls Mthly'!AX:AX)</f>
        <v/>
      </c>
      <c r="AY31" s="687">
        <f>SUMIF('Jnls Mthly'!$A:$A,'TB Mnthly'!$A31,'Jnls Mthly'!AY:AY)</f>
        <v/>
      </c>
      <c r="AZ31" s="687">
        <f>SUMIF('Jnls Mthly'!$A:$A,'TB Mnthly'!$A31,'Jnls Mthly'!AZ:AZ)</f>
        <v/>
      </c>
      <c r="BA31" s="687">
        <f>SUMIF('Jnls Mthly'!$A:$A,'TB Mnthly'!$A31,'Jnls Mthly'!BA:BA)</f>
        <v/>
      </c>
      <c r="BB31" s="687">
        <f>SUMIF('Jnls Mthly'!$A:$A,'TB Mnthly'!$A31,'Jnls Mthly'!BB:BB)</f>
        <v/>
      </c>
      <c r="BC31" s="687">
        <f>SUMIF('Jnls Mthly'!$A:$A,'TB Mnthly'!$A31,'Jnls Mthly'!BC:BC)</f>
        <v/>
      </c>
      <c r="BD31" s="687">
        <f>SUMIF('Jnls Mthly'!$A:$A,'TB Mnthly'!$A31,'Jnls Mthly'!BD:BD)</f>
        <v/>
      </c>
      <c r="BE31" s="687">
        <f>SUMIF('Jnls Mthly'!$A:$A,'TB Mnthly'!$A31,'Jnls Mthly'!BE:BE)</f>
        <v/>
      </c>
      <c r="BF31" s="687">
        <f>SUM(AS31:BE31)</f>
        <v/>
      </c>
      <c r="BH31" s="687">
        <f>SUMIF('Jnls Mthly'!$A:$A,'TB Mnthly'!$A31,'Jnls Mthly'!BH:BH)</f>
        <v/>
      </c>
      <c r="BI31" s="687">
        <f>SUMIF('Jnls Mthly'!$A:$A,'TB Mnthly'!$A31,'Jnls Mthly'!BI:BI)</f>
        <v/>
      </c>
      <c r="BJ31" s="687">
        <f>SUMIF('Jnls Mthly'!$A:$A,'TB Mnthly'!$A31,'Jnls Mthly'!BJ:BJ)</f>
        <v/>
      </c>
      <c r="BK31" s="687">
        <f>SUMIF('Jnls Mthly'!$A:$A,'TB Mnthly'!$A31,'Jnls Mthly'!BK:BK)</f>
        <v/>
      </c>
      <c r="BL31" s="687">
        <f>SUMIF('Jnls Mthly'!$A:$A,'TB Mnthly'!$A31,'Jnls Mthly'!BL:BL)</f>
        <v/>
      </c>
      <c r="BM31" s="687">
        <f>SUMIF('Jnls Mthly'!$A:$A,'TB Mnthly'!$A31,'Jnls Mthly'!BM:BM)</f>
        <v/>
      </c>
      <c r="BN31" s="687">
        <f>SUMIF('Jnls Mthly'!$A:$A,'TB Mnthly'!$A31,'Jnls Mthly'!BN:BN)</f>
        <v/>
      </c>
      <c r="BO31" s="687">
        <f>SUMIF('Jnls Mthly'!$A:$A,'TB Mnthly'!$A31,'Jnls Mthly'!BO:BO)</f>
        <v/>
      </c>
      <c r="BP31" s="687">
        <f>SUMIF('Jnls Mthly'!$A:$A,'TB Mnthly'!$A31,'Jnls Mthly'!BP:BP)</f>
        <v/>
      </c>
      <c r="BQ31" s="687">
        <f>SUMIF('Jnls Mthly'!$A:$A,'TB Mnthly'!$A31,'Jnls Mthly'!BQ:BQ)</f>
        <v/>
      </c>
      <c r="BR31" s="687">
        <f>SUMIF('Jnls Mthly'!$A:$A,'TB Mnthly'!$A31,'Jnls Mthly'!BR:BR)</f>
        <v/>
      </c>
      <c r="BS31" s="687">
        <f>SUMIF('Jnls Mthly'!$A:$A,'TB Mnthly'!$A31,'Jnls Mthly'!BS:BS)</f>
        <v/>
      </c>
      <c r="BT31" s="687">
        <f>SUM(BG31:BS31)</f>
        <v/>
      </c>
    </row>
    <row r="32">
      <c r="A32" s="497" t="inlineStr">
        <is>
          <t>Loan Interest</t>
        </is>
      </c>
      <c r="C32" s="687">
        <f>SUMIF('Jnls Mthly'!$A:$A,'TB Mnthly'!$A32,'Jnls Mthly'!C:C)</f>
        <v/>
      </c>
      <c r="D32" s="687">
        <f>SUMIF('Jnls Mthly'!$A:$A,'TB Mnthly'!$A32,'Jnls Mthly'!D:D)</f>
        <v/>
      </c>
      <c r="E32" s="687">
        <f>SUMIF('Jnls Mthly'!$A:$A,'TB Mnthly'!$A32,'Jnls Mthly'!E:E)</f>
        <v/>
      </c>
      <c r="F32" s="687">
        <f>SUMIF('Jnls Mthly'!$A:$A,'TB Mnthly'!$A32,'Jnls Mthly'!F:F)</f>
        <v/>
      </c>
      <c r="G32" s="687">
        <f>SUMIF('Jnls Mthly'!$A:$A,'TB Mnthly'!$A32,'Jnls Mthly'!G:G)</f>
        <v/>
      </c>
      <c r="H32" s="687">
        <f>SUMIF('Jnls Mthly'!$A:$A,'TB Mnthly'!$A32,'Jnls Mthly'!H:H)</f>
        <v/>
      </c>
      <c r="I32" s="687">
        <f>SUMIF('Jnls Mthly'!$A:$A,'TB Mnthly'!$A32,'Jnls Mthly'!I:I)</f>
        <v/>
      </c>
      <c r="J32" s="687">
        <f>SUMIF('Jnls Mthly'!$A:$A,'TB Mnthly'!$A32,'Jnls Mthly'!J:J)</f>
        <v/>
      </c>
      <c r="K32" s="687">
        <f>SUMIF('Jnls Mthly'!$A:$A,'TB Mnthly'!$A32,'Jnls Mthly'!K:K)</f>
        <v/>
      </c>
      <c r="L32" s="687">
        <f>SUMIF('Jnls Mthly'!$A:$A,'TB Mnthly'!$A32,'Jnls Mthly'!L:L)</f>
        <v/>
      </c>
      <c r="M32" s="687">
        <f>SUMIF('Jnls Mthly'!$A:$A,'TB Mnthly'!$A32,'Jnls Mthly'!M:M)</f>
        <v/>
      </c>
      <c r="N32" s="687">
        <f>SUMIF('Jnls Mthly'!$A:$A,'TB Mnthly'!$A32,'Jnls Mthly'!N:N)</f>
        <v/>
      </c>
      <c r="O32" s="687">
        <f>SUMIF('Jnls Mthly'!$A:$A,'TB Mnthly'!$A32,'Jnls Mthly'!O:O)</f>
        <v/>
      </c>
      <c r="P32" s="687">
        <f>SUM(C32:O32)</f>
        <v/>
      </c>
      <c r="Q32" s="680" t="n"/>
      <c r="R32" s="687">
        <f>SUMIF('Jnls Mthly'!$A:$A,'TB Mnthly'!$A32,'Jnls Mthly'!R:R)</f>
        <v/>
      </c>
      <c r="S32" s="687">
        <f>SUMIF('Jnls Mthly'!$A:$A,'TB Mnthly'!$A32,'Jnls Mthly'!S:S)</f>
        <v/>
      </c>
      <c r="T32" s="687">
        <f>SUMIF('Jnls Mthly'!$A:$A,'TB Mnthly'!$A32,'Jnls Mthly'!T:T)</f>
        <v/>
      </c>
      <c r="U32" s="687">
        <f>SUMIF('Jnls Mthly'!$A:$A,'TB Mnthly'!$A32,'Jnls Mthly'!U:U)</f>
        <v/>
      </c>
      <c r="V32" s="687">
        <f>SUMIF('Jnls Mthly'!$A:$A,'TB Mnthly'!$A32,'Jnls Mthly'!V:V)</f>
        <v/>
      </c>
      <c r="W32" s="687">
        <f>SUMIF('Jnls Mthly'!$A:$A,'TB Mnthly'!$A32,'Jnls Mthly'!W:W)</f>
        <v/>
      </c>
      <c r="X32" s="687">
        <f>SUMIF('Jnls Mthly'!$A:$A,'TB Mnthly'!$A32,'Jnls Mthly'!X:X)</f>
        <v/>
      </c>
      <c r="Y32" s="687">
        <f>SUMIF('Jnls Mthly'!$A:$A,'TB Mnthly'!$A32,'Jnls Mthly'!Y:Y)</f>
        <v/>
      </c>
      <c r="Z32" s="687">
        <f>SUMIF('Jnls Mthly'!$A:$A,'TB Mnthly'!$A32,'Jnls Mthly'!Z:Z)</f>
        <v/>
      </c>
      <c r="AA32" s="687">
        <f>SUMIF('Jnls Mthly'!$A:$A,'TB Mnthly'!$A32,'Jnls Mthly'!AA:AA)</f>
        <v/>
      </c>
      <c r="AB32" s="687">
        <f>SUMIF('Jnls Mthly'!$A:$A,'TB Mnthly'!$A32,'Jnls Mthly'!AB:AB)</f>
        <v/>
      </c>
      <c r="AC32" s="687">
        <f>SUMIF('Jnls Mthly'!$A:$A,'TB Mnthly'!$A32,'Jnls Mthly'!AC:AC)</f>
        <v/>
      </c>
      <c r="AD32" s="687">
        <f>SUM(Q32:AC32)</f>
        <v/>
      </c>
      <c r="AE32" s="680" t="n"/>
      <c r="AF32" s="687">
        <f>SUMIF('Jnls Mthly'!$A:$A,'TB Mnthly'!$A32,'Jnls Mthly'!AF:AF)</f>
        <v/>
      </c>
      <c r="AG32" s="687">
        <f>SUMIF('Jnls Mthly'!$A:$A,'TB Mnthly'!$A32,'Jnls Mthly'!AG:AG)</f>
        <v/>
      </c>
      <c r="AH32" s="687">
        <f>SUMIF('Jnls Mthly'!$A:$A,'TB Mnthly'!$A32,'Jnls Mthly'!AH:AH)</f>
        <v/>
      </c>
      <c r="AI32" s="687">
        <f>SUMIF('Jnls Mthly'!$A:$A,'TB Mnthly'!$A32,'Jnls Mthly'!AI:AI)</f>
        <v/>
      </c>
      <c r="AJ32" s="687">
        <f>SUMIF('Jnls Mthly'!$A:$A,'TB Mnthly'!$A32,'Jnls Mthly'!AJ:AJ)</f>
        <v/>
      </c>
      <c r="AK32" s="687">
        <f>SUMIF('Jnls Mthly'!$A:$A,'TB Mnthly'!$A32,'Jnls Mthly'!AK:AK)</f>
        <v/>
      </c>
      <c r="AL32" s="687">
        <f>SUMIF('Jnls Mthly'!$A:$A,'TB Mnthly'!$A32,'Jnls Mthly'!AL:AL)</f>
        <v/>
      </c>
      <c r="AM32" s="687">
        <f>SUMIF('Jnls Mthly'!$A:$A,'TB Mnthly'!$A32,'Jnls Mthly'!AM:AM)</f>
        <v/>
      </c>
      <c r="AN32" s="687">
        <f>SUMIF('Jnls Mthly'!$A:$A,'TB Mnthly'!$A32,'Jnls Mthly'!AN:AN)</f>
        <v/>
      </c>
      <c r="AO32" s="687">
        <f>SUMIF('Jnls Mthly'!$A:$A,'TB Mnthly'!$A32,'Jnls Mthly'!AO:AO)</f>
        <v/>
      </c>
      <c r="AP32" s="687">
        <f>SUMIF('Jnls Mthly'!$A:$A,'TB Mnthly'!$A32,'Jnls Mthly'!AP:AP)</f>
        <v/>
      </c>
      <c r="AQ32" s="687">
        <f>SUMIF('Jnls Mthly'!$A:$A,'TB Mnthly'!$A32,'Jnls Mthly'!AQ:AQ)</f>
        <v/>
      </c>
      <c r="AR32" s="687">
        <f>SUM(AE32:AQ32)</f>
        <v/>
      </c>
      <c r="AS32" s="680" t="n"/>
      <c r="AT32" s="687">
        <f>SUMIF('Jnls Mthly'!$A:$A,'TB Mnthly'!$A32,'Jnls Mthly'!AT:AT)</f>
        <v/>
      </c>
      <c r="AU32" s="687">
        <f>SUMIF('Jnls Mthly'!$A:$A,'TB Mnthly'!$A32,'Jnls Mthly'!AU:AU)</f>
        <v/>
      </c>
      <c r="AV32" s="687">
        <f>SUMIF('Jnls Mthly'!$A:$A,'TB Mnthly'!$A32,'Jnls Mthly'!AV:AV)</f>
        <v/>
      </c>
      <c r="AW32" s="687">
        <f>SUMIF('Jnls Mthly'!$A:$A,'TB Mnthly'!$A32,'Jnls Mthly'!AW:AW)</f>
        <v/>
      </c>
      <c r="AX32" s="687">
        <f>SUMIF('Jnls Mthly'!$A:$A,'TB Mnthly'!$A32,'Jnls Mthly'!AX:AX)</f>
        <v/>
      </c>
      <c r="AY32" s="687">
        <f>SUMIF('Jnls Mthly'!$A:$A,'TB Mnthly'!$A32,'Jnls Mthly'!AY:AY)</f>
        <v/>
      </c>
      <c r="AZ32" s="687">
        <f>SUMIF('Jnls Mthly'!$A:$A,'TB Mnthly'!$A32,'Jnls Mthly'!AZ:AZ)</f>
        <v/>
      </c>
      <c r="BA32" s="687">
        <f>SUMIF('Jnls Mthly'!$A:$A,'TB Mnthly'!$A32,'Jnls Mthly'!BA:BA)</f>
        <v/>
      </c>
      <c r="BB32" s="687">
        <f>SUMIF('Jnls Mthly'!$A:$A,'TB Mnthly'!$A32,'Jnls Mthly'!BB:BB)</f>
        <v/>
      </c>
      <c r="BC32" s="687">
        <f>SUMIF('Jnls Mthly'!$A:$A,'TB Mnthly'!$A32,'Jnls Mthly'!BC:BC)</f>
        <v/>
      </c>
      <c r="BD32" s="687">
        <f>SUMIF('Jnls Mthly'!$A:$A,'TB Mnthly'!$A32,'Jnls Mthly'!BD:BD)</f>
        <v/>
      </c>
      <c r="BE32" s="687">
        <f>SUMIF('Jnls Mthly'!$A:$A,'TB Mnthly'!$A32,'Jnls Mthly'!BE:BE)</f>
        <v/>
      </c>
      <c r="BF32" s="687">
        <f>SUM(AS32:BE32)</f>
        <v/>
      </c>
      <c r="BH32" s="687">
        <f>SUMIF('Jnls Mthly'!$A:$A,'TB Mnthly'!$A32,'Jnls Mthly'!BH:BH)</f>
        <v/>
      </c>
      <c r="BI32" s="687">
        <f>SUMIF('Jnls Mthly'!$A:$A,'TB Mnthly'!$A32,'Jnls Mthly'!BI:BI)</f>
        <v/>
      </c>
      <c r="BJ32" s="687">
        <f>SUMIF('Jnls Mthly'!$A:$A,'TB Mnthly'!$A32,'Jnls Mthly'!BJ:BJ)</f>
        <v/>
      </c>
      <c r="BK32" s="687">
        <f>SUMIF('Jnls Mthly'!$A:$A,'TB Mnthly'!$A32,'Jnls Mthly'!BK:BK)</f>
        <v/>
      </c>
      <c r="BL32" s="687">
        <f>SUMIF('Jnls Mthly'!$A:$A,'TB Mnthly'!$A32,'Jnls Mthly'!BL:BL)</f>
        <v/>
      </c>
      <c r="BM32" s="687">
        <f>SUMIF('Jnls Mthly'!$A:$A,'TB Mnthly'!$A32,'Jnls Mthly'!BM:BM)</f>
        <v/>
      </c>
      <c r="BN32" s="687">
        <f>SUMIF('Jnls Mthly'!$A:$A,'TB Mnthly'!$A32,'Jnls Mthly'!BN:BN)</f>
        <v/>
      </c>
      <c r="BO32" s="687">
        <f>SUMIF('Jnls Mthly'!$A:$A,'TB Mnthly'!$A32,'Jnls Mthly'!BO:BO)</f>
        <v/>
      </c>
      <c r="BP32" s="687">
        <f>SUMIF('Jnls Mthly'!$A:$A,'TB Mnthly'!$A32,'Jnls Mthly'!BP:BP)</f>
        <v/>
      </c>
      <c r="BQ32" s="687">
        <f>SUMIF('Jnls Mthly'!$A:$A,'TB Mnthly'!$A32,'Jnls Mthly'!BQ:BQ)</f>
        <v/>
      </c>
      <c r="BR32" s="687">
        <f>SUMIF('Jnls Mthly'!$A:$A,'TB Mnthly'!$A32,'Jnls Mthly'!BR:BR)</f>
        <v/>
      </c>
      <c r="BS32" s="687">
        <f>SUMIF('Jnls Mthly'!$A:$A,'TB Mnthly'!$A32,'Jnls Mthly'!BS:BS)</f>
        <v/>
      </c>
      <c r="BT32" s="687">
        <f>SUM(BG32:BS32)</f>
        <v/>
      </c>
    </row>
    <row r="33" ht="6.75" customHeight="1">
      <c r="C33" s="680" t="n"/>
      <c r="D33" s="680" t="n"/>
      <c r="E33" s="680" t="n"/>
      <c r="F33" s="680" t="n"/>
      <c r="G33" s="680" t="n"/>
      <c r="H33" s="680" t="n"/>
      <c r="I33" s="680" t="n"/>
      <c r="J33" s="680" t="n"/>
      <c r="K33" s="680" t="n"/>
      <c r="L33" s="680" t="n"/>
      <c r="M33" s="680" t="n"/>
      <c r="N33" s="680" t="n"/>
      <c r="O33" s="680" t="n"/>
      <c r="P33" s="680" t="n"/>
      <c r="Q33" s="680" t="n"/>
      <c r="R33" s="680" t="n"/>
      <c r="S33" s="680" t="n"/>
      <c r="T33" s="680" t="n"/>
      <c r="U33" s="680" t="n"/>
      <c r="V33" s="680" t="n"/>
      <c r="W33" s="680" t="n"/>
      <c r="X33" s="680" t="n"/>
      <c r="Y33" s="680" t="n"/>
      <c r="Z33" s="680" t="n"/>
      <c r="AA33" s="680" t="n"/>
      <c r="AB33" s="680" t="n"/>
      <c r="AC33" s="680" t="n"/>
      <c r="AD33" s="680" t="n"/>
      <c r="AE33" s="680" t="n"/>
      <c r="AF33" s="680" t="n"/>
      <c r="AG33" s="680" t="n"/>
      <c r="AH33" s="680" t="n"/>
      <c r="AI33" s="680" t="n"/>
      <c r="AJ33" s="680" t="n"/>
      <c r="AK33" s="680" t="n"/>
      <c r="AL33" s="680" t="n"/>
      <c r="AM33" s="680" t="n"/>
      <c r="AN33" s="680" t="n"/>
      <c r="AO33" s="680" t="n"/>
      <c r="AP33" s="680" t="n"/>
      <c r="AQ33" s="680" t="n"/>
      <c r="AR33" s="680" t="n"/>
      <c r="AS33" s="680" t="n"/>
      <c r="AT33" s="680" t="n"/>
      <c r="AU33" s="680" t="n"/>
      <c r="AV33" s="680" t="n"/>
      <c r="AW33" s="680" t="n"/>
      <c r="AX33" s="680" t="n"/>
      <c r="AY33" s="680" t="n"/>
      <c r="AZ33" s="680" t="n"/>
      <c r="BA33" s="680" t="n"/>
      <c r="BB33" s="680" t="n"/>
      <c r="BC33" s="680" t="n"/>
      <c r="BD33" s="680" t="n"/>
      <c r="BE33" s="680" t="n"/>
      <c r="BF33" s="680" t="n"/>
      <c r="BH33" s="680" t="n"/>
      <c r="BI33" s="680" t="n"/>
      <c r="BJ33" s="680" t="n"/>
      <c r="BK33" s="680" t="n"/>
      <c r="BL33" s="680" t="n"/>
      <c r="BM33" s="680" t="n"/>
      <c r="BN33" s="680" t="n"/>
      <c r="BO33" s="680" t="n"/>
      <c r="BP33" s="680" t="n"/>
      <c r="BQ33" s="680" t="n"/>
      <c r="BR33" s="680" t="n"/>
      <c r="BS33" s="680" t="n"/>
      <c r="BT33" s="680" t="n"/>
    </row>
    <row r="34">
      <c r="A34" s="497" t="inlineStr">
        <is>
          <t>Equipment</t>
        </is>
      </c>
      <c r="C34" s="688">
        <f>SUMIF('Jnls Mthly'!$A:$A,'TB Mnthly'!$A34,'Jnls Mthly'!C:C)</f>
        <v/>
      </c>
      <c r="D34" s="688">
        <f>SUMIF('Jnls Mthly'!$A:$A,'TB Mnthly'!$A34,'Jnls Mthly'!D:D)+C34</f>
        <v/>
      </c>
      <c r="E34" s="688">
        <f>SUMIF('Jnls Mthly'!$A:$A,'TB Mnthly'!$A34,'Jnls Mthly'!E:E)+D34</f>
        <v/>
      </c>
      <c r="F34" s="688">
        <f>SUMIF('Jnls Mthly'!$A:$A,'TB Mnthly'!$A34,'Jnls Mthly'!F:F)+E34</f>
        <v/>
      </c>
      <c r="G34" s="688">
        <f>SUMIF('Jnls Mthly'!$A:$A,'TB Mnthly'!$A34,'Jnls Mthly'!G:G)+F34</f>
        <v/>
      </c>
      <c r="H34" s="688">
        <f>SUMIF('Jnls Mthly'!$A:$A,'TB Mnthly'!$A34,'Jnls Mthly'!H:H)+G34</f>
        <v/>
      </c>
      <c r="I34" s="688">
        <f>SUMIF('Jnls Mthly'!$A:$A,'TB Mnthly'!$A34,'Jnls Mthly'!I:I)+H34</f>
        <v/>
      </c>
      <c r="J34" s="688">
        <f>SUMIF('Jnls Mthly'!$A:$A,'TB Mnthly'!$A34,'Jnls Mthly'!J:J)+I34</f>
        <v/>
      </c>
      <c r="K34" s="688">
        <f>SUMIF('Jnls Mthly'!$A:$A,'TB Mnthly'!$A34,'Jnls Mthly'!K:K)+J34</f>
        <v/>
      </c>
      <c r="L34" s="688">
        <f>SUMIF('Jnls Mthly'!$A:$A,'TB Mnthly'!$A34,'Jnls Mthly'!L:L)+K34</f>
        <v/>
      </c>
      <c r="M34" s="688">
        <f>SUMIF('Jnls Mthly'!$A:$A,'TB Mnthly'!$A34,'Jnls Mthly'!M:M)+L34</f>
        <v/>
      </c>
      <c r="N34" s="688">
        <f>SUMIF('Jnls Mthly'!$A:$A,'TB Mnthly'!$A34,'Jnls Mthly'!N:N)+M34</f>
        <v/>
      </c>
      <c r="O34" s="688">
        <f>SUMIF('Jnls Mthly'!$A:$A,'TB Mnthly'!$A34,'Jnls Mthly'!O:O)+N34</f>
        <v/>
      </c>
      <c r="P34" s="689">
        <f>O34</f>
        <v/>
      </c>
      <c r="Q34" s="680" t="n"/>
      <c r="R34" s="688">
        <f>SUMIF('Jnls Mthly'!$A:$A,'TB Mnthly'!$A34,'Jnls Mthly'!R:R)+O34</f>
        <v/>
      </c>
      <c r="S34" s="688">
        <f>SUMIF('Jnls Mthly'!$A:$A,'TB Mnthly'!$A34,'Jnls Mthly'!S:S)+R34</f>
        <v/>
      </c>
      <c r="T34" s="688">
        <f>SUMIF('Jnls Mthly'!$A:$A,'TB Mnthly'!$A34,'Jnls Mthly'!T:T)+S34</f>
        <v/>
      </c>
      <c r="U34" s="688">
        <f>SUMIF('Jnls Mthly'!$A:$A,'TB Mnthly'!$A34,'Jnls Mthly'!U:U)+T34</f>
        <v/>
      </c>
      <c r="V34" s="688">
        <f>SUMIF('Jnls Mthly'!$A:$A,'TB Mnthly'!$A34,'Jnls Mthly'!V:V)+U34</f>
        <v/>
      </c>
      <c r="W34" s="688">
        <f>SUMIF('Jnls Mthly'!$A:$A,'TB Mnthly'!$A34,'Jnls Mthly'!W:W)+V34</f>
        <v/>
      </c>
      <c r="X34" s="688">
        <f>SUMIF('Jnls Mthly'!$A:$A,'TB Mnthly'!$A34,'Jnls Mthly'!X:X)+W34</f>
        <v/>
      </c>
      <c r="Y34" s="688">
        <f>SUMIF('Jnls Mthly'!$A:$A,'TB Mnthly'!$A34,'Jnls Mthly'!Y:Y)+X34</f>
        <v/>
      </c>
      <c r="Z34" s="688">
        <f>SUMIF('Jnls Mthly'!$A:$A,'TB Mnthly'!$A34,'Jnls Mthly'!Z:Z)+Y34</f>
        <v/>
      </c>
      <c r="AA34" s="688">
        <f>SUMIF('Jnls Mthly'!$A:$A,'TB Mnthly'!$A34,'Jnls Mthly'!AA:AA)+Z34</f>
        <v/>
      </c>
      <c r="AB34" s="688">
        <f>SUMIF('Jnls Mthly'!$A:$A,'TB Mnthly'!$A34,'Jnls Mthly'!AB:AB)+AA34</f>
        <v/>
      </c>
      <c r="AC34" s="688">
        <f>SUMIF('Jnls Mthly'!$A:$A,'TB Mnthly'!$A34,'Jnls Mthly'!AC:AC)+AB34</f>
        <v/>
      </c>
      <c r="AD34" s="689">
        <f>AC34</f>
        <v/>
      </c>
      <c r="AE34" s="680" t="n"/>
      <c r="AF34" s="688">
        <f>SUMIF('Jnls Mthly'!$A:$A,'TB Mnthly'!$A34,'Jnls Mthly'!AF:AF)+AC34</f>
        <v/>
      </c>
      <c r="AG34" s="688">
        <f>SUMIF('Jnls Mthly'!$A:$A,'TB Mnthly'!$A34,'Jnls Mthly'!AG:AG)+AF34</f>
        <v/>
      </c>
      <c r="AH34" s="688">
        <f>SUMIF('Jnls Mthly'!$A:$A,'TB Mnthly'!$A34,'Jnls Mthly'!AH:AH)+AG34</f>
        <v/>
      </c>
      <c r="AI34" s="688">
        <f>SUMIF('Jnls Mthly'!$A:$A,'TB Mnthly'!$A34,'Jnls Mthly'!AI:AI)+AH34</f>
        <v/>
      </c>
      <c r="AJ34" s="688">
        <f>SUMIF('Jnls Mthly'!$A:$A,'TB Mnthly'!$A34,'Jnls Mthly'!AJ:AJ)+AI34</f>
        <v/>
      </c>
      <c r="AK34" s="688">
        <f>SUMIF('Jnls Mthly'!$A:$A,'TB Mnthly'!$A34,'Jnls Mthly'!AK:AK)+AJ34</f>
        <v/>
      </c>
      <c r="AL34" s="688">
        <f>SUMIF('Jnls Mthly'!$A:$A,'TB Mnthly'!$A34,'Jnls Mthly'!AL:AL)+AK34</f>
        <v/>
      </c>
      <c r="AM34" s="688">
        <f>SUMIF('Jnls Mthly'!$A:$A,'TB Mnthly'!$A34,'Jnls Mthly'!AM:AM)+AL34</f>
        <v/>
      </c>
      <c r="AN34" s="688">
        <f>SUMIF('Jnls Mthly'!$A:$A,'TB Mnthly'!$A34,'Jnls Mthly'!AN:AN)+AM34</f>
        <v/>
      </c>
      <c r="AO34" s="688">
        <f>SUMIF('Jnls Mthly'!$A:$A,'TB Mnthly'!$A34,'Jnls Mthly'!AO:AO)+AN34</f>
        <v/>
      </c>
      <c r="AP34" s="688">
        <f>SUMIF('Jnls Mthly'!$A:$A,'TB Mnthly'!$A34,'Jnls Mthly'!AP:AP)+AO34</f>
        <v/>
      </c>
      <c r="AQ34" s="688">
        <f>SUMIF('Jnls Mthly'!$A:$A,'TB Mnthly'!$A34,'Jnls Mthly'!AQ:AQ)+AP34</f>
        <v/>
      </c>
      <c r="AR34" s="689">
        <f>AQ34</f>
        <v/>
      </c>
      <c r="AS34" s="680" t="n"/>
      <c r="AT34" s="688">
        <f>SUMIF('Jnls Mthly'!$A:$A,'TB Mnthly'!$A34,'Jnls Mthly'!AT:AT)+AQ34</f>
        <v/>
      </c>
      <c r="AU34" s="688">
        <f>SUMIF('Jnls Mthly'!$A:$A,'TB Mnthly'!$A34,'Jnls Mthly'!AU:AU)+AT34</f>
        <v/>
      </c>
      <c r="AV34" s="688">
        <f>SUMIF('Jnls Mthly'!$A:$A,'TB Mnthly'!$A34,'Jnls Mthly'!AV:AV)+AU34</f>
        <v/>
      </c>
      <c r="AW34" s="688">
        <f>SUMIF('Jnls Mthly'!$A:$A,'TB Mnthly'!$A34,'Jnls Mthly'!AW:AW)+AV34</f>
        <v/>
      </c>
      <c r="AX34" s="688">
        <f>SUMIF('Jnls Mthly'!$A:$A,'TB Mnthly'!$A34,'Jnls Mthly'!AX:AX)+AW34</f>
        <v/>
      </c>
      <c r="AY34" s="688">
        <f>SUMIF('Jnls Mthly'!$A:$A,'TB Mnthly'!$A34,'Jnls Mthly'!AY:AY)+AX34</f>
        <v/>
      </c>
      <c r="AZ34" s="688">
        <f>SUMIF('Jnls Mthly'!$A:$A,'TB Mnthly'!$A34,'Jnls Mthly'!AZ:AZ)+AY34</f>
        <v/>
      </c>
      <c r="BA34" s="688">
        <f>SUMIF('Jnls Mthly'!$A:$A,'TB Mnthly'!$A34,'Jnls Mthly'!BA:BA)+AZ34</f>
        <v/>
      </c>
      <c r="BB34" s="688">
        <f>SUMIF('Jnls Mthly'!$A:$A,'TB Mnthly'!$A34,'Jnls Mthly'!BB:BB)+BA34</f>
        <v/>
      </c>
      <c r="BC34" s="688">
        <f>SUMIF('Jnls Mthly'!$A:$A,'TB Mnthly'!$A34,'Jnls Mthly'!BC:BC)+BB34</f>
        <v/>
      </c>
      <c r="BD34" s="688">
        <f>SUMIF('Jnls Mthly'!$A:$A,'TB Mnthly'!$A34,'Jnls Mthly'!BD:BD)+BC34</f>
        <v/>
      </c>
      <c r="BE34" s="688">
        <f>SUMIF('Jnls Mthly'!$A:$A,'TB Mnthly'!$A34,'Jnls Mthly'!BE:BE)+BD34</f>
        <v/>
      </c>
      <c r="BF34" s="689">
        <f>BE34</f>
        <v/>
      </c>
      <c r="BH34" s="688">
        <f>SUMIF('Jnls Mthly'!$A:$A,'TB Mnthly'!$A34,'Jnls Mthly'!BH:BH)+BE34</f>
        <v/>
      </c>
      <c r="BI34" s="688">
        <f>SUMIF('Jnls Mthly'!$A:$A,'TB Mnthly'!$A34,'Jnls Mthly'!BI:BI)+BH34</f>
        <v/>
      </c>
      <c r="BJ34" s="688">
        <f>SUMIF('Jnls Mthly'!$A:$A,'TB Mnthly'!$A34,'Jnls Mthly'!BJ:BJ)+BI34</f>
        <v/>
      </c>
      <c r="BK34" s="688">
        <f>SUMIF('Jnls Mthly'!$A:$A,'TB Mnthly'!$A34,'Jnls Mthly'!BK:BK)+BJ34</f>
        <v/>
      </c>
      <c r="BL34" s="688">
        <f>SUMIF('Jnls Mthly'!$A:$A,'TB Mnthly'!$A34,'Jnls Mthly'!BL:BL)+BK34</f>
        <v/>
      </c>
      <c r="BM34" s="688">
        <f>SUMIF('Jnls Mthly'!$A:$A,'TB Mnthly'!$A34,'Jnls Mthly'!BM:BM)+BL34</f>
        <v/>
      </c>
      <c r="BN34" s="688">
        <f>SUMIF('Jnls Mthly'!$A:$A,'TB Mnthly'!$A34,'Jnls Mthly'!BN:BN)+BM34</f>
        <v/>
      </c>
      <c r="BO34" s="688">
        <f>SUMIF('Jnls Mthly'!$A:$A,'TB Mnthly'!$A34,'Jnls Mthly'!BO:BO)+BN34</f>
        <v/>
      </c>
      <c r="BP34" s="688">
        <f>SUMIF('Jnls Mthly'!$A:$A,'TB Mnthly'!$A34,'Jnls Mthly'!BP:BP)+BO34</f>
        <v/>
      </c>
      <c r="BQ34" s="688">
        <f>SUMIF('Jnls Mthly'!$A:$A,'TB Mnthly'!$A34,'Jnls Mthly'!BQ:BQ)+BP34</f>
        <v/>
      </c>
      <c r="BR34" s="688">
        <f>SUMIF('Jnls Mthly'!$A:$A,'TB Mnthly'!$A34,'Jnls Mthly'!BR:BR)+BQ34</f>
        <v/>
      </c>
      <c r="BS34" s="688">
        <f>SUMIF('Jnls Mthly'!$A:$A,'TB Mnthly'!$A34,'Jnls Mthly'!BS:BS)+BR34</f>
        <v/>
      </c>
      <c r="BT34" s="689">
        <f>BS34</f>
        <v/>
      </c>
    </row>
    <row r="35">
      <c r="A35" s="497" t="inlineStr">
        <is>
          <t>Cash in hand and at bank</t>
        </is>
      </c>
      <c r="C35" s="688">
        <f>SUMIF('Jnls Mthly'!$A:$A,'TB Mnthly'!$A35,'Jnls Mthly'!C:C)</f>
        <v/>
      </c>
      <c r="D35" s="688">
        <f>SUMIF('Jnls Mthly'!$A:$A,'TB Mnthly'!$A35,'Jnls Mthly'!D:D)+C35</f>
        <v/>
      </c>
      <c r="E35" s="688">
        <f>SUMIF('Jnls Mthly'!$A:$A,'TB Mnthly'!$A35,'Jnls Mthly'!E:E)+D35</f>
        <v/>
      </c>
      <c r="F35" s="688">
        <f>SUMIF('Jnls Mthly'!$A:$A,'TB Mnthly'!$A35,'Jnls Mthly'!F:F)+E35</f>
        <v/>
      </c>
      <c r="G35" s="688">
        <f>SUMIF('Jnls Mthly'!$A:$A,'TB Mnthly'!$A35,'Jnls Mthly'!G:G)+F35</f>
        <v/>
      </c>
      <c r="H35" s="688">
        <f>SUMIF('Jnls Mthly'!$A:$A,'TB Mnthly'!$A35,'Jnls Mthly'!H:H)+G35</f>
        <v/>
      </c>
      <c r="I35" s="688">
        <f>SUMIF('Jnls Mthly'!$A:$A,'TB Mnthly'!$A35,'Jnls Mthly'!I:I)+H35</f>
        <v/>
      </c>
      <c r="J35" s="688">
        <f>SUMIF('Jnls Mthly'!$A:$A,'TB Mnthly'!$A35,'Jnls Mthly'!J:J)+I35</f>
        <v/>
      </c>
      <c r="K35" s="688">
        <f>SUMIF('Jnls Mthly'!$A:$A,'TB Mnthly'!$A35,'Jnls Mthly'!K:K)+J35</f>
        <v/>
      </c>
      <c r="L35" s="688">
        <f>SUMIF('Jnls Mthly'!$A:$A,'TB Mnthly'!$A35,'Jnls Mthly'!L:L)+K35</f>
        <v/>
      </c>
      <c r="M35" s="688">
        <f>SUMIF('Jnls Mthly'!$A:$A,'TB Mnthly'!$A35,'Jnls Mthly'!M:M)+L35</f>
        <v/>
      </c>
      <c r="N35" s="688">
        <f>SUMIF('Jnls Mthly'!$A:$A,'TB Mnthly'!$A35,'Jnls Mthly'!N:N)+M35</f>
        <v/>
      </c>
      <c r="O35" s="688">
        <f>SUMIF('Jnls Mthly'!$A:$A,'TB Mnthly'!$A35,'Jnls Mthly'!O:O)+N35</f>
        <v/>
      </c>
      <c r="P35" s="689">
        <f>O35</f>
        <v/>
      </c>
      <c r="Q35" s="680" t="n"/>
      <c r="R35" s="688">
        <f>SUMIF('Jnls Mthly'!$A:$A,'TB Mnthly'!$A35,'Jnls Mthly'!R:R)+O35</f>
        <v/>
      </c>
      <c r="S35" s="688">
        <f>SUMIF('Jnls Mthly'!$A:$A,'TB Mnthly'!$A35,'Jnls Mthly'!S:S)+R35</f>
        <v/>
      </c>
      <c r="T35" s="688">
        <f>SUMIF('Jnls Mthly'!$A:$A,'TB Mnthly'!$A35,'Jnls Mthly'!T:T)+S35</f>
        <v/>
      </c>
      <c r="U35" s="688">
        <f>SUMIF('Jnls Mthly'!$A:$A,'TB Mnthly'!$A35,'Jnls Mthly'!U:U)+T35</f>
        <v/>
      </c>
      <c r="V35" s="688">
        <f>SUMIF('Jnls Mthly'!$A:$A,'TB Mnthly'!$A35,'Jnls Mthly'!V:V)+U35</f>
        <v/>
      </c>
      <c r="W35" s="688">
        <f>SUMIF('Jnls Mthly'!$A:$A,'TB Mnthly'!$A35,'Jnls Mthly'!W:W)+V35</f>
        <v/>
      </c>
      <c r="X35" s="688">
        <f>SUMIF('Jnls Mthly'!$A:$A,'TB Mnthly'!$A35,'Jnls Mthly'!X:X)+W35</f>
        <v/>
      </c>
      <c r="Y35" s="688">
        <f>SUMIF('Jnls Mthly'!$A:$A,'TB Mnthly'!$A35,'Jnls Mthly'!Y:Y)+X35</f>
        <v/>
      </c>
      <c r="Z35" s="688">
        <f>SUMIF('Jnls Mthly'!$A:$A,'TB Mnthly'!$A35,'Jnls Mthly'!Z:Z)+Y35</f>
        <v/>
      </c>
      <c r="AA35" s="688">
        <f>SUMIF('Jnls Mthly'!$A:$A,'TB Mnthly'!$A35,'Jnls Mthly'!AA:AA)+Z35</f>
        <v/>
      </c>
      <c r="AB35" s="688">
        <f>SUMIF('Jnls Mthly'!$A:$A,'TB Mnthly'!$A35,'Jnls Mthly'!AB:AB)+AA35</f>
        <v/>
      </c>
      <c r="AC35" s="688">
        <f>SUMIF('Jnls Mthly'!$A:$A,'TB Mnthly'!$A35,'Jnls Mthly'!AC:AC)+AB35</f>
        <v/>
      </c>
      <c r="AD35" s="689">
        <f>AC35</f>
        <v/>
      </c>
      <c r="AE35" s="680" t="n"/>
      <c r="AF35" s="688">
        <f>SUMIF('Jnls Mthly'!$A:$A,'TB Mnthly'!$A35,'Jnls Mthly'!AF:AF)+AC35</f>
        <v/>
      </c>
      <c r="AG35" s="688">
        <f>SUMIF('Jnls Mthly'!$A:$A,'TB Mnthly'!$A35,'Jnls Mthly'!AG:AG)+AF35</f>
        <v/>
      </c>
      <c r="AH35" s="688">
        <f>SUMIF('Jnls Mthly'!$A:$A,'TB Mnthly'!$A35,'Jnls Mthly'!AH:AH)+AG35</f>
        <v/>
      </c>
      <c r="AI35" s="688">
        <f>SUMIF('Jnls Mthly'!$A:$A,'TB Mnthly'!$A35,'Jnls Mthly'!AI:AI)+AH35</f>
        <v/>
      </c>
      <c r="AJ35" s="688">
        <f>SUMIF('Jnls Mthly'!$A:$A,'TB Mnthly'!$A35,'Jnls Mthly'!AJ:AJ)+AI35</f>
        <v/>
      </c>
      <c r="AK35" s="688">
        <f>SUMIF('Jnls Mthly'!$A:$A,'TB Mnthly'!$A35,'Jnls Mthly'!AK:AK)+AJ35</f>
        <v/>
      </c>
      <c r="AL35" s="688">
        <f>SUMIF('Jnls Mthly'!$A:$A,'TB Mnthly'!$A35,'Jnls Mthly'!AL:AL)+AK35</f>
        <v/>
      </c>
      <c r="AM35" s="688">
        <f>SUMIF('Jnls Mthly'!$A:$A,'TB Mnthly'!$A35,'Jnls Mthly'!AM:AM)+AL35</f>
        <v/>
      </c>
      <c r="AN35" s="688">
        <f>SUMIF('Jnls Mthly'!$A:$A,'TB Mnthly'!$A35,'Jnls Mthly'!AN:AN)+AM35</f>
        <v/>
      </c>
      <c r="AO35" s="688">
        <f>SUMIF('Jnls Mthly'!$A:$A,'TB Mnthly'!$A35,'Jnls Mthly'!AO:AO)+AN35</f>
        <v/>
      </c>
      <c r="AP35" s="688">
        <f>SUMIF('Jnls Mthly'!$A:$A,'TB Mnthly'!$A35,'Jnls Mthly'!AP:AP)+AO35</f>
        <v/>
      </c>
      <c r="AQ35" s="688">
        <f>SUMIF('Jnls Mthly'!$A:$A,'TB Mnthly'!$A35,'Jnls Mthly'!AQ:AQ)+AP35</f>
        <v/>
      </c>
      <c r="AR35" s="689">
        <f>AQ35</f>
        <v/>
      </c>
      <c r="AS35" s="680" t="n"/>
      <c r="AT35" s="688">
        <f>SUMIF('Jnls Mthly'!$A:$A,'TB Mnthly'!$A35,'Jnls Mthly'!AT:AT)+AQ35</f>
        <v/>
      </c>
      <c r="AU35" s="688">
        <f>SUMIF('Jnls Mthly'!$A:$A,'TB Mnthly'!$A35,'Jnls Mthly'!AU:AU)+AT35</f>
        <v/>
      </c>
      <c r="AV35" s="688">
        <f>SUMIF('Jnls Mthly'!$A:$A,'TB Mnthly'!$A35,'Jnls Mthly'!AV:AV)+AU35</f>
        <v/>
      </c>
      <c r="AW35" s="688">
        <f>SUMIF('Jnls Mthly'!$A:$A,'TB Mnthly'!$A35,'Jnls Mthly'!AW:AW)+AV35</f>
        <v/>
      </c>
      <c r="AX35" s="688">
        <f>SUMIF('Jnls Mthly'!$A:$A,'TB Mnthly'!$A35,'Jnls Mthly'!AX:AX)+AW35</f>
        <v/>
      </c>
      <c r="AY35" s="688">
        <f>SUMIF('Jnls Mthly'!$A:$A,'TB Mnthly'!$A35,'Jnls Mthly'!AY:AY)+AX35</f>
        <v/>
      </c>
      <c r="AZ35" s="688">
        <f>SUMIF('Jnls Mthly'!$A:$A,'TB Mnthly'!$A35,'Jnls Mthly'!AZ:AZ)+AY35</f>
        <v/>
      </c>
      <c r="BA35" s="688">
        <f>SUMIF('Jnls Mthly'!$A:$A,'TB Mnthly'!$A35,'Jnls Mthly'!BA:BA)+AZ35</f>
        <v/>
      </c>
      <c r="BB35" s="688">
        <f>SUMIF('Jnls Mthly'!$A:$A,'TB Mnthly'!$A35,'Jnls Mthly'!BB:BB)+BA35</f>
        <v/>
      </c>
      <c r="BC35" s="688">
        <f>SUMIF('Jnls Mthly'!$A:$A,'TB Mnthly'!$A35,'Jnls Mthly'!BC:BC)+BB35</f>
        <v/>
      </c>
      <c r="BD35" s="688">
        <f>SUMIF('Jnls Mthly'!$A:$A,'TB Mnthly'!$A35,'Jnls Mthly'!BD:BD)+BC35</f>
        <v/>
      </c>
      <c r="BE35" s="688">
        <f>SUMIF('Jnls Mthly'!$A:$A,'TB Mnthly'!$A35,'Jnls Mthly'!BE:BE)+BD35</f>
        <v/>
      </c>
      <c r="BF35" s="689">
        <f>BE35</f>
        <v/>
      </c>
      <c r="BH35" s="688">
        <f>SUMIF('Jnls Mthly'!$A:$A,'TB Mnthly'!$A35,'Jnls Mthly'!BH:BH)+BE35</f>
        <v/>
      </c>
      <c r="BI35" s="688">
        <f>SUMIF('Jnls Mthly'!$A:$A,'TB Mnthly'!$A35,'Jnls Mthly'!BI:BI)+BH35</f>
        <v/>
      </c>
      <c r="BJ35" s="688">
        <f>SUMIF('Jnls Mthly'!$A:$A,'TB Mnthly'!$A35,'Jnls Mthly'!BJ:BJ)+BI35</f>
        <v/>
      </c>
      <c r="BK35" s="688">
        <f>SUMIF('Jnls Mthly'!$A:$A,'TB Mnthly'!$A35,'Jnls Mthly'!BK:BK)+BJ35</f>
        <v/>
      </c>
      <c r="BL35" s="688">
        <f>SUMIF('Jnls Mthly'!$A:$A,'TB Mnthly'!$A35,'Jnls Mthly'!BL:BL)+BK35</f>
        <v/>
      </c>
      <c r="BM35" s="688">
        <f>SUMIF('Jnls Mthly'!$A:$A,'TB Mnthly'!$A35,'Jnls Mthly'!BM:BM)+BL35</f>
        <v/>
      </c>
      <c r="BN35" s="688">
        <f>SUMIF('Jnls Mthly'!$A:$A,'TB Mnthly'!$A35,'Jnls Mthly'!BN:BN)+BM35</f>
        <v/>
      </c>
      <c r="BO35" s="688">
        <f>SUMIF('Jnls Mthly'!$A:$A,'TB Mnthly'!$A35,'Jnls Mthly'!BO:BO)+BN35</f>
        <v/>
      </c>
      <c r="BP35" s="688">
        <f>SUMIF('Jnls Mthly'!$A:$A,'TB Mnthly'!$A35,'Jnls Mthly'!BP:BP)+BO35</f>
        <v/>
      </c>
      <c r="BQ35" s="688">
        <f>SUMIF('Jnls Mthly'!$A:$A,'TB Mnthly'!$A35,'Jnls Mthly'!BQ:BQ)+BP35</f>
        <v/>
      </c>
      <c r="BR35" s="688">
        <f>SUMIF('Jnls Mthly'!$A:$A,'TB Mnthly'!$A35,'Jnls Mthly'!BR:BR)+BQ35</f>
        <v/>
      </c>
      <c r="BS35" s="688">
        <f>SUMIF('Jnls Mthly'!$A:$A,'TB Mnthly'!$A35,'Jnls Mthly'!BS:BS)+BR35</f>
        <v/>
      </c>
      <c r="BT35" s="689">
        <f>BS35</f>
        <v/>
      </c>
    </row>
    <row r="36">
      <c r="A36" s="497" t="inlineStr">
        <is>
          <t>Short Term Loan</t>
        </is>
      </c>
      <c r="C36" s="688">
        <f>SUMIF('Jnls Mthly'!$A:$A,'TB Mnthly'!$A36,'Jnls Mthly'!C:C)</f>
        <v/>
      </c>
      <c r="D36" s="688">
        <f>SUMIF('Jnls Mthly'!$A:$A,'TB Mnthly'!$A36,'Jnls Mthly'!D:D)+C36</f>
        <v/>
      </c>
      <c r="E36" s="688">
        <f>SUMIF('Jnls Mthly'!$A:$A,'TB Mnthly'!$A36,'Jnls Mthly'!E:E)+D36</f>
        <v/>
      </c>
      <c r="F36" s="688">
        <f>SUMIF('Jnls Mthly'!$A:$A,'TB Mnthly'!$A36,'Jnls Mthly'!F:F)+E36</f>
        <v/>
      </c>
      <c r="G36" s="688">
        <f>SUMIF('Jnls Mthly'!$A:$A,'TB Mnthly'!$A36,'Jnls Mthly'!G:G)+F36</f>
        <v/>
      </c>
      <c r="H36" s="688">
        <f>SUMIF('Jnls Mthly'!$A:$A,'TB Mnthly'!$A36,'Jnls Mthly'!H:H)+G36</f>
        <v/>
      </c>
      <c r="I36" s="688">
        <f>SUMIF('Jnls Mthly'!$A:$A,'TB Mnthly'!$A36,'Jnls Mthly'!I:I)+H36</f>
        <v/>
      </c>
      <c r="J36" s="688">
        <f>SUMIF('Jnls Mthly'!$A:$A,'TB Mnthly'!$A36,'Jnls Mthly'!J:J)+I36</f>
        <v/>
      </c>
      <c r="K36" s="688">
        <f>SUMIF('Jnls Mthly'!$A:$A,'TB Mnthly'!$A36,'Jnls Mthly'!K:K)+J36</f>
        <v/>
      </c>
      <c r="L36" s="688">
        <f>SUMIF('Jnls Mthly'!$A:$A,'TB Mnthly'!$A36,'Jnls Mthly'!L:L)+K36</f>
        <v/>
      </c>
      <c r="M36" s="688">
        <f>SUMIF('Jnls Mthly'!$A:$A,'TB Mnthly'!$A36,'Jnls Mthly'!M:M)+L36</f>
        <v/>
      </c>
      <c r="N36" s="688">
        <f>SUMIF('Jnls Mthly'!$A:$A,'TB Mnthly'!$A36,'Jnls Mthly'!N:N)+M36</f>
        <v/>
      </c>
      <c r="O36" s="688">
        <f>SUMIF('Jnls Mthly'!$A:$A,'TB Mnthly'!$A36,'Jnls Mthly'!O:O)+N36</f>
        <v/>
      </c>
      <c r="P36" s="689">
        <f>O36</f>
        <v/>
      </c>
      <c r="Q36" s="680" t="n"/>
      <c r="R36" s="688">
        <f>SUMIF('Jnls Mthly'!$A:$A,'TB Mnthly'!$A36,'Jnls Mthly'!R:R)+O36</f>
        <v/>
      </c>
      <c r="S36" s="688">
        <f>SUMIF('Jnls Mthly'!$A:$A,'TB Mnthly'!$A36,'Jnls Mthly'!S:S)+R36</f>
        <v/>
      </c>
      <c r="T36" s="688">
        <f>SUMIF('Jnls Mthly'!$A:$A,'TB Mnthly'!$A36,'Jnls Mthly'!T:T)+S36</f>
        <v/>
      </c>
      <c r="U36" s="688">
        <f>SUMIF('Jnls Mthly'!$A:$A,'TB Mnthly'!$A36,'Jnls Mthly'!U:U)+T36</f>
        <v/>
      </c>
      <c r="V36" s="688">
        <f>SUMIF('Jnls Mthly'!$A:$A,'TB Mnthly'!$A36,'Jnls Mthly'!V:V)+U36</f>
        <v/>
      </c>
      <c r="W36" s="688">
        <f>SUMIF('Jnls Mthly'!$A:$A,'TB Mnthly'!$A36,'Jnls Mthly'!W:W)+V36</f>
        <v/>
      </c>
      <c r="X36" s="688">
        <f>SUMIF('Jnls Mthly'!$A:$A,'TB Mnthly'!$A36,'Jnls Mthly'!X:X)+W36</f>
        <v/>
      </c>
      <c r="Y36" s="688">
        <f>SUMIF('Jnls Mthly'!$A:$A,'TB Mnthly'!$A36,'Jnls Mthly'!Y:Y)+X36</f>
        <v/>
      </c>
      <c r="Z36" s="688">
        <f>SUMIF('Jnls Mthly'!$A:$A,'TB Mnthly'!$A36,'Jnls Mthly'!Z:Z)+Y36</f>
        <v/>
      </c>
      <c r="AA36" s="688">
        <f>SUMIF('Jnls Mthly'!$A:$A,'TB Mnthly'!$A36,'Jnls Mthly'!AA:AA)+Z36</f>
        <v/>
      </c>
      <c r="AB36" s="688">
        <f>SUMIF('Jnls Mthly'!$A:$A,'TB Mnthly'!$A36,'Jnls Mthly'!AB:AB)+AA36</f>
        <v/>
      </c>
      <c r="AC36" s="688">
        <f>SUMIF('Jnls Mthly'!$A:$A,'TB Mnthly'!$A36,'Jnls Mthly'!AC:AC)+AB36</f>
        <v/>
      </c>
      <c r="AD36" s="689">
        <f>AC36</f>
        <v/>
      </c>
      <c r="AE36" s="680" t="n"/>
      <c r="AF36" s="688">
        <f>SUMIF('Jnls Mthly'!$A:$A,'TB Mnthly'!$A36,'Jnls Mthly'!AF:AF)+AD36</f>
        <v/>
      </c>
      <c r="AG36" s="688">
        <f>SUMIF('Jnls Mthly'!$A:$A,'TB Mnthly'!$A36,'Jnls Mthly'!AG:AG)+AF36</f>
        <v/>
      </c>
      <c r="AH36" s="688">
        <f>SUMIF('Jnls Mthly'!$A:$A,'TB Mnthly'!$A36,'Jnls Mthly'!AH:AH)+AG36</f>
        <v/>
      </c>
      <c r="AI36" s="688">
        <f>SUMIF('Jnls Mthly'!$A:$A,'TB Mnthly'!$A36,'Jnls Mthly'!AI:AI)+AH36</f>
        <v/>
      </c>
      <c r="AJ36" s="688">
        <f>SUMIF('Jnls Mthly'!$A:$A,'TB Mnthly'!$A36,'Jnls Mthly'!AJ:AJ)+AI36</f>
        <v/>
      </c>
      <c r="AK36" s="688">
        <f>SUMIF('Jnls Mthly'!$A:$A,'TB Mnthly'!$A36,'Jnls Mthly'!AK:AK)+AJ36</f>
        <v/>
      </c>
      <c r="AL36" s="688">
        <f>SUMIF('Jnls Mthly'!$A:$A,'TB Mnthly'!$A36,'Jnls Mthly'!AL:AL)+AK36</f>
        <v/>
      </c>
      <c r="AM36" s="688">
        <f>SUMIF('Jnls Mthly'!$A:$A,'TB Mnthly'!$A36,'Jnls Mthly'!AM:AM)+AL36</f>
        <v/>
      </c>
      <c r="AN36" s="688">
        <f>SUMIF('Jnls Mthly'!$A:$A,'TB Mnthly'!$A36,'Jnls Mthly'!AN:AN)+AM36</f>
        <v/>
      </c>
      <c r="AO36" s="688">
        <f>SUMIF('Jnls Mthly'!$A:$A,'TB Mnthly'!$A36,'Jnls Mthly'!AO:AO)+AN36</f>
        <v/>
      </c>
      <c r="AP36" s="688">
        <f>SUMIF('Jnls Mthly'!$A:$A,'TB Mnthly'!$A36,'Jnls Mthly'!AP:AP)+AO36</f>
        <v/>
      </c>
      <c r="AQ36" s="688">
        <f>SUMIF('Jnls Mthly'!$A:$A,'TB Mnthly'!$A36,'Jnls Mthly'!AQ:AQ)+AP36</f>
        <v/>
      </c>
      <c r="AR36" s="689">
        <f>AQ36</f>
        <v/>
      </c>
      <c r="AS36" s="680" t="n"/>
      <c r="AT36" s="688">
        <f>SUMIF('Jnls Mthly'!$A:$A,'TB Mnthly'!$A36,'Jnls Mthly'!AT:AT)+AR36</f>
        <v/>
      </c>
      <c r="AU36" s="688">
        <f>SUMIF('Jnls Mthly'!$A:$A,'TB Mnthly'!$A36,'Jnls Mthly'!AU:AU)+AT36</f>
        <v/>
      </c>
      <c r="AV36" s="688">
        <f>SUMIF('Jnls Mthly'!$A:$A,'TB Mnthly'!$A36,'Jnls Mthly'!AV:AV)+AU36</f>
        <v/>
      </c>
      <c r="AW36" s="688">
        <f>SUMIF('Jnls Mthly'!$A:$A,'TB Mnthly'!$A36,'Jnls Mthly'!AW:AW)+AV36</f>
        <v/>
      </c>
      <c r="AX36" s="688">
        <f>SUMIF('Jnls Mthly'!$A:$A,'TB Mnthly'!$A36,'Jnls Mthly'!AX:AX)+AW36</f>
        <v/>
      </c>
      <c r="AY36" s="688">
        <f>SUMIF('Jnls Mthly'!$A:$A,'TB Mnthly'!$A36,'Jnls Mthly'!AY:AY)+AX36</f>
        <v/>
      </c>
      <c r="AZ36" s="688">
        <f>SUMIF('Jnls Mthly'!$A:$A,'TB Mnthly'!$A36,'Jnls Mthly'!AZ:AZ)+AY36</f>
        <v/>
      </c>
      <c r="BA36" s="688">
        <f>SUMIF('Jnls Mthly'!$A:$A,'TB Mnthly'!$A36,'Jnls Mthly'!BA:BA)+AZ36</f>
        <v/>
      </c>
      <c r="BB36" s="688">
        <f>SUMIF('Jnls Mthly'!$A:$A,'TB Mnthly'!$A36,'Jnls Mthly'!BB:BB)+BA36</f>
        <v/>
      </c>
      <c r="BC36" s="688">
        <f>SUMIF('Jnls Mthly'!$A:$A,'TB Mnthly'!$A36,'Jnls Mthly'!BC:BC)+BB36</f>
        <v/>
      </c>
      <c r="BD36" s="688">
        <f>SUMIF('Jnls Mthly'!$A:$A,'TB Mnthly'!$A36,'Jnls Mthly'!BD:BD)+BC36</f>
        <v/>
      </c>
      <c r="BE36" s="688">
        <f>SUMIF('Jnls Mthly'!$A:$A,'TB Mnthly'!$A36,'Jnls Mthly'!BE:BE)+BD36</f>
        <v/>
      </c>
      <c r="BF36" s="689">
        <f>BE36</f>
        <v/>
      </c>
      <c r="BH36" s="688">
        <f>SUMIF('Jnls Mthly'!$A:$A,'TB Mnthly'!$A36,'Jnls Mthly'!BH:BH)+BF36</f>
        <v/>
      </c>
      <c r="BI36" s="688">
        <f>SUMIF('Jnls Mthly'!$A:$A,'TB Mnthly'!$A36,'Jnls Mthly'!BI:BI)+BH36</f>
        <v/>
      </c>
      <c r="BJ36" s="688">
        <f>SUMIF('Jnls Mthly'!$A:$A,'TB Mnthly'!$A36,'Jnls Mthly'!BJ:BJ)+BI36</f>
        <v/>
      </c>
      <c r="BK36" s="688">
        <f>SUMIF('Jnls Mthly'!$A:$A,'TB Mnthly'!$A36,'Jnls Mthly'!BK:BK)+BJ36</f>
        <v/>
      </c>
      <c r="BL36" s="688">
        <f>SUMIF('Jnls Mthly'!$A:$A,'TB Mnthly'!$A36,'Jnls Mthly'!BL:BL)+BK36</f>
        <v/>
      </c>
      <c r="BM36" s="688">
        <f>SUMIF('Jnls Mthly'!$A:$A,'TB Mnthly'!$A36,'Jnls Mthly'!BM:BM)+BL36</f>
        <v/>
      </c>
      <c r="BN36" s="688">
        <f>SUMIF('Jnls Mthly'!$A:$A,'TB Mnthly'!$A36,'Jnls Mthly'!BN:BN)+BM36</f>
        <v/>
      </c>
      <c r="BO36" s="688">
        <f>SUMIF('Jnls Mthly'!$A:$A,'TB Mnthly'!$A36,'Jnls Mthly'!BO:BO)+BN36</f>
        <v/>
      </c>
      <c r="BP36" s="688">
        <f>SUMIF('Jnls Mthly'!$A:$A,'TB Mnthly'!$A36,'Jnls Mthly'!BP:BP)+BO36</f>
        <v/>
      </c>
      <c r="BQ36" s="688">
        <f>SUMIF('Jnls Mthly'!$A:$A,'TB Mnthly'!$A36,'Jnls Mthly'!BQ:BQ)+BP36</f>
        <v/>
      </c>
      <c r="BR36" s="688">
        <f>SUMIF('Jnls Mthly'!$A:$A,'TB Mnthly'!$A36,'Jnls Mthly'!BR:BR)+BQ36</f>
        <v/>
      </c>
      <c r="BS36" s="688">
        <f>SUMIF('Jnls Mthly'!$A:$A,'TB Mnthly'!$A36,'Jnls Mthly'!BS:BS)+BR36</f>
        <v/>
      </c>
      <c r="BT36" s="689">
        <f>BS36</f>
        <v/>
      </c>
    </row>
    <row r="37">
      <c r="A37" s="497" t="inlineStr">
        <is>
          <t>Share Capital</t>
        </is>
      </c>
      <c r="C37" s="688">
        <f>SUMIF('Jnls Mthly'!$A:$A,'TB Mnthly'!$A37,'Jnls Mthly'!C:C)</f>
        <v/>
      </c>
      <c r="D37" s="688">
        <f>SUMIF('Jnls Mthly'!$A:$A,'TB Mnthly'!$A37,'Jnls Mthly'!D:D)+C37</f>
        <v/>
      </c>
      <c r="E37" s="688">
        <f>SUMIF('Jnls Mthly'!$A:$A,'TB Mnthly'!$A37,'Jnls Mthly'!E:E)+D37</f>
        <v/>
      </c>
      <c r="F37" s="688">
        <f>SUMIF('Jnls Mthly'!$A:$A,'TB Mnthly'!$A37,'Jnls Mthly'!F:F)+E37</f>
        <v/>
      </c>
      <c r="G37" s="688">
        <f>SUMIF('Jnls Mthly'!$A:$A,'TB Mnthly'!$A37,'Jnls Mthly'!G:G)+F37</f>
        <v/>
      </c>
      <c r="H37" s="688">
        <f>SUMIF('Jnls Mthly'!$A:$A,'TB Mnthly'!$A37,'Jnls Mthly'!H:H)+G37</f>
        <v/>
      </c>
      <c r="I37" s="688">
        <f>SUMIF('Jnls Mthly'!$A:$A,'TB Mnthly'!$A37,'Jnls Mthly'!I:I)+H37</f>
        <v/>
      </c>
      <c r="J37" s="688">
        <f>SUMIF('Jnls Mthly'!$A:$A,'TB Mnthly'!$A37,'Jnls Mthly'!J:J)+I37</f>
        <v/>
      </c>
      <c r="K37" s="688">
        <f>SUMIF('Jnls Mthly'!$A:$A,'TB Mnthly'!$A37,'Jnls Mthly'!K:K)+J37</f>
        <v/>
      </c>
      <c r="L37" s="688">
        <f>SUMIF('Jnls Mthly'!$A:$A,'TB Mnthly'!$A37,'Jnls Mthly'!L:L)+K37</f>
        <v/>
      </c>
      <c r="M37" s="688">
        <f>SUMIF('Jnls Mthly'!$A:$A,'TB Mnthly'!$A37,'Jnls Mthly'!M:M)+L37</f>
        <v/>
      </c>
      <c r="N37" s="688">
        <f>SUMIF('Jnls Mthly'!$A:$A,'TB Mnthly'!$A37,'Jnls Mthly'!N:N)+M37</f>
        <v/>
      </c>
      <c r="O37" s="688">
        <f>SUMIF('Jnls Mthly'!$A:$A,'TB Mnthly'!$A37,'Jnls Mthly'!O:O)+N37</f>
        <v/>
      </c>
      <c r="P37" s="689">
        <f>O37</f>
        <v/>
      </c>
      <c r="Q37" s="680" t="n"/>
      <c r="R37" s="688">
        <f>SUMIF('Jnls Mthly'!$A:$A,'TB Mnthly'!$A37,'Jnls Mthly'!R:R)+O37</f>
        <v/>
      </c>
      <c r="S37" s="688">
        <f>SUMIF('Jnls Mthly'!$A:$A,'TB Mnthly'!$A37,'Jnls Mthly'!S:S)+R37</f>
        <v/>
      </c>
      <c r="T37" s="688">
        <f>SUMIF('Jnls Mthly'!$A:$A,'TB Mnthly'!$A37,'Jnls Mthly'!T:T)+S37</f>
        <v/>
      </c>
      <c r="U37" s="688">
        <f>SUMIF('Jnls Mthly'!$A:$A,'TB Mnthly'!$A37,'Jnls Mthly'!U:U)+T37</f>
        <v/>
      </c>
      <c r="V37" s="688">
        <f>SUMIF('Jnls Mthly'!$A:$A,'TB Mnthly'!$A37,'Jnls Mthly'!V:V)+U37</f>
        <v/>
      </c>
      <c r="W37" s="688">
        <f>SUMIF('Jnls Mthly'!$A:$A,'TB Mnthly'!$A37,'Jnls Mthly'!W:W)+V37</f>
        <v/>
      </c>
      <c r="X37" s="688">
        <f>SUMIF('Jnls Mthly'!$A:$A,'TB Mnthly'!$A37,'Jnls Mthly'!X:X)+W37</f>
        <v/>
      </c>
      <c r="Y37" s="688">
        <f>SUMIF('Jnls Mthly'!$A:$A,'TB Mnthly'!$A37,'Jnls Mthly'!Y:Y)+X37</f>
        <v/>
      </c>
      <c r="Z37" s="688">
        <f>SUMIF('Jnls Mthly'!$A:$A,'TB Mnthly'!$A37,'Jnls Mthly'!Z:Z)+Y37</f>
        <v/>
      </c>
      <c r="AA37" s="688">
        <f>SUMIF('Jnls Mthly'!$A:$A,'TB Mnthly'!$A37,'Jnls Mthly'!AA:AA)+Z37</f>
        <v/>
      </c>
      <c r="AB37" s="688">
        <f>SUMIF('Jnls Mthly'!$A:$A,'TB Mnthly'!$A37,'Jnls Mthly'!AB:AB)+AA37</f>
        <v/>
      </c>
      <c r="AC37" s="688">
        <f>SUMIF('Jnls Mthly'!$A:$A,'TB Mnthly'!$A37,'Jnls Mthly'!AC:AC)+AB37</f>
        <v/>
      </c>
      <c r="AD37" s="689">
        <f>AC37</f>
        <v/>
      </c>
      <c r="AE37" s="680" t="n"/>
      <c r="AF37" s="688">
        <f>SUMIF('Jnls Mthly'!$A:$A,'TB Mnthly'!$A37,'Jnls Mthly'!AF:AF)+AC37</f>
        <v/>
      </c>
      <c r="AG37" s="688">
        <f>SUMIF('Jnls Mthly'!$A:$A,'TB Mnthly'!$A37,'Jnls Mthly'!AG:AG)+AF37</f>
        <v/>
      </c>
      <c r="AH37" s="688">
        <f>SUMIF('Jnls Mthly'!$A:$A,'TB Mnthly'!$A37,'Jnls Mthly'!AH:AH)+AG37</f>
        <v/>
      </c>
      <c r="AI37" s="688">
        <f>SUMIF('Jnls Mthly'!$A:$A,'TB Mnthly'!$A37,'Jnls Mthly'!AI:AI)+AH37</f>
        <v/>
      </c>
      <c r="AJ37" s="688">
        <f>SUMIF('Jnls Mthly'!$A:$A,'TB Mnthly'!$A37,'Jnls Mthly'!AJ:AJ)+AI37</f>
        <v/>
      </c>
      <c r="AK37" s="688">
        <f>SUMIF('Jnls Mthly'!$A:$A,'TB Mnthly'!$A37,'Jnls Mthly'!AK:AK)+AJ37</f>
        <v/>
      </c>
      <c r="AL37" s="688">
        <f>SUMIF('Jnls Mthly'!$A:$A,'TB Mnthly'!$A37,'Jnls Mthly'!AL:AL)+AK37</f>
        <v/>
      </c>
      <c r="AM37" s="688">
        <f>SUMIF('Jnls Mthly'!$A:$A,'TB Mnthly'!$A37,'Jnls Mthly'!AM:AM)+AL37</f>
        <v/>
      </c>
      <c r="AN37" s="688">
        <f>SUMIF('Jnls Mthly'!$A:$A,'TB Mnthly'!$A37,'Jnls Mthly'!AN:AN)+AM37</f>
        <v/>
      </c>
      <c r="AO37" s="688">
        <f>SUMIF('Jnls Mthly'!$A:$A,'TB Mnthly'!$A37,'Jnls Mthly'!AO:AO)+AN37</f>
        <v/>
      </c>
      <c r="AP37" s="688">
        <f>SUMIF('Jnls Mthly'!$A:$A,'TB Mnthly'!$A37,'Jnls Mthly'!AP:AP)+AO37</f>
        <v/>
      </c>
      <c r="AQ37" s="688">
        <f>SUMIF('Jnls Mthly'!$A:$A,'TB Mnthly'!$A37,'Jnls Mthly'!AQ:AQ)+AP37</f>
        <v/>
      </c>
      <c r="AR37" s="689">
        <f>AQ37</f>
        <v/>
      </c>
      <c r="AS37" s="680" t="n"/>
      <c r="AT37" s="688">
        <f>SUMIF('Jnls Mthly'!$A:$A,'TB Mnthly'!$A37,'Jnls Mthly'!AT:AT)+AQ37</f>
        <v/>
      </c>
      <c r="AU37" s="688">
        <f>SUMIF('Jnls Mthly'!$A:$A,'TB Mnthly'!$A37,'Jnls Mthly'!AU:AU)+AT37</f>
        <v/>
      </c>
      <c r="AV37" s="688">
        <f>SUMIF('Jnls Mthly'!$A:$A,'TB Mnthly'!$A37,'Jnls Mthly'!AV:AV)+AU37</f>
        <v/>
      </c>
      <c r="AW37" s="688">
        <f>SUMIF('Jnls Mthly'!$A:$A,'TB Mnthly'!$A37,'Jnls Mthly'!AW:AW)+AV37</f>
        <v/>
      </c>
      <c r="AX37" s="688">
        <f>SUMIF('Jnls Mthly'!$A:$A,'TB Mnthly'!$A37,'Jnls Mthly'!AX:AX)+AW37</f>
        <v/>
      </c>
      <c r="AY37" s="688">
        <f>SUMIF('Jnls Mthly'!$A:$A,'TB Mnthly'!$A37,'Jnls Mthly'!AY:AY)+AX37</f>
        <v/>
      </c>
      <c r="AZ37" s="688">
        <f>SUMIF('Jnls Mthly'!$A:$A,'TB Mnthly'!$A37,'Jnls Mthly'!AZ:AZ)+AY37</f>
        <v/>
      </c>
      <c r="BA37" s="688">
        <f>SUMIF('Jnls Mthly'!$A:$A,'TB Mnthly'!$A37,'Jnls Mthly'!BA:BA)+AZ37</f>
        <v/>
      </c>
      <c r="BB37" s="688">
        <f>SUMIF('Jnls Mthly'!$A:$A,'TB Mnthly'!$A37,'Jnls Mthly'!BB:BB)+BA37</f>
        <v/>
      </c>
      <c r="BC37" s="688">
        <f>SUMIF('Jnls Mthly'!$A:$A,'TB Mnthly'!$A37,'Jnls Mthly'!BC:BC)+BB37</f>
        <v/>
      </c>
      <c r="BD37" s="688">
        <f>SUMIF('Jnls Mthly'!$A:$A,'TB Mnthly'!$A37,'Jnls Mthly'!BD:BD)+BC37</f>
        <v/>
      </c>
      <c r="BE37" s="688">
        <f>SUMIF('Jnls Mthly'!$A:$A,'TB Mnthly'!$A37,'Jnls Mthly'!BE:BE)+BD37</f>
        <v/>
      </c>
      <c r="BF37" s="689">
        <f>BE37</f>
        <v/>
      </c>
      <c r="BH37" s="688">
        <f>SUMIF('Jnls Mthly'!$A:$A,'TB Mnthly'!$A37,'Jnls Mthly'!BH:BH)+BE37</f>
        <v/>
      </c>
      <c r="BI37" s="688">
        <f>SUMIF('Jnls Mthly'!$A:$A,'TB Mnthly'!$A37,'Jnls Mthly'!BI:BI)+BH37</f>
        <v/>
      </c>
      <c r="BJ37" s="688">
        <f>SUMIF('Jnls Mthly'!$A:$A,'TB Mnthly'!$A37,'Jnls Mthly'!BJ:BJ)+BI37</f>
        <v/>
      </c>
      <c r="BK37" s="688">
        <f>SUMIF('Jnls Mthly'!$A:$A,'TB Mnthly'!$A37,'Jnls Mthly'!BK:BK)+BJ37</f>
        <v/>
      </c>
      <c r="BL37" s="688">
        <f>SUMIF('Jnls Mthly'!$A:$A,'TB Mnthly'!$A37,'Jnls Mthly'!BL:BL)+BK37</f>
        <v/>
      </c>
      <c r="BM37" s="688">
        <f>SUMIF('Jnls Mthly'!$A:$A,'TB Mnthly'!$A37,'Jnls Mthly'!BM:BM)+BL37</f>
        <v/>
      </c>
      <c r="BN37" s="688">
        <f>SUMIF('Jnls Mthly'!$A:$A,'TB Mnthly'!$A37,'Jnls Mthly'!BN:BN)+BM37</f>
        <v/>
      </c>
      <c r="BO37" s="688">
        <f>SUMIF('Jnls Mthly'!$A:$A,'TB Mnthly'!$A37,'Jnls Mthly'!BO:BO)+BN37</f>
        <v/>
      </c>
      <c r="BP37" s="688">
        <f>SUMIF('Jnls Mthly'!$A:$A,'TB Mnthly'!$A37,'Jnls Mthly'!BP:BP)+BO37</f>
        <v/>
      </c>
      <c r="BQ37" s="688">
        <f>SUMIF('Jnls Mthly'!$A:$A,'TB Mnthly'!$A37,'Jnls Mthly'!BQ:BQ)+BP37</f>
        <v/>
      </c>
      <c r="BR37" s="688">
        <f>SUMIF('Jnls Mthly'!$A:$A,'TB Mnthly'!$A37,'Jnls Mthly'!BR:BR)+BQ37</f>
        <v/>
      </c>
      <c r="BS37" s="688">
        <f>SUMIF('Jnls Mthly'!$A:$A,'TB Mnthly'!$A37,'Jnls Mthly'!BS:BS)+BR37</f>
        <v/>
      </c>
      <c r="BT37" s="689">
        <f>BS37</f>
        <v/>
      </c>
    </row>
    <row r="38">
      <c r="A38" s="497" t="inlineStr">
        <is>
          <t>Profit and Loss Account</t>
        </is>
      </c>
      <c r="C38" s="690" t="n"/>
      <c r="D38" s="690">
        <f>SUM(C5:C32)</f>
        <v/>
      </c>
      <c r="E38" s="690">
        <f>D38+SUM(D5:D32)</f>
        <v/>
      </c>
      <c r="F38" s="690">
        <f>E38+SUM(E5:E32)</f>
        <v/>
      </c>
      <c r="G38" s="690">
        <f>F38+SUM(F5:F32)</f>
        <v/>
      </c>
      <c r="H38" s="690">
        <f>G38+SUM(G5:G32)</f>
        <v/>
      </c>
      <c r="I38" s="690">
        <f>H38+SUM(H5:H32)</f>
        <v/>
      </c>
      <c r="J38" s="690">
        <f>I38+SUM(I5:I32)</f>
        <v/>
      </c>
      <c r="K38" s="690">
        <f>J38+SUM(J5:J32)</f>
        <v/>
      </c>
      <c r="L38" s="690">
        <f>K38+SUM(K5:K32)</f>
        <v/>
      </c>
      <c r="M38" s="690">
        <f>L38+SUM(L5:L32)</f>
        <v/>
      </c>
      <c r="N38" s="690">
        <f>M38+SUM(M5:M32)</f>
        <v/>
      </c>
      <c r="O38" s="690">
        <f>N38+SUM(N5:N32)</f>
        <v/>
      </c>
      <c r="P38" s="691">
        <f>C38</f>
        <v/>
      </c>
      <c r="Q38" s="680" t="n"/>
      <c r="R38" s="690">
        <f>P38+SUM(P5:P32)</f>
        <v/>
      </c>
      <c r="S38" s="690">
        <f>R38+SUM(R5:R32)</f>
        <v/>
      </c>
      <c r="T38" s="690">
        <f>S38+SUM(S5:S32)</f>
        <v/>
      </c>
      <c r="U38" s="690">
        <f>T38+SUM(T5:T32)</f>
        <v/>
      </c>
      <c r="V38" s="690">
        <f>U38+SUM(U5:U32)</f>
        <v/>
      </c>
      <c r="W38" s="690">
        <f>V38+SUM(V5:V32)</f>
        <v/>
      </c>
      <c r="X38" s="690">
        <f>W38+SUM(W5:W32)</f>
        <v/>
      </c>
      <c r="Y38" s="690">
        <f>X38+SUM(X5:X32)</f>
        <v/>
      </c>
      <c r="Z38" s="690">
        <f>Y38+SUM(Y5:Y32)</f>
        <v/>
      </c>
      <c r="AA38" s="690">
        <f>Z38+SUM(Z5:Z32)</f>
        <v/>
      </c>
      <c r="AB38" s="690">
        <f>AA38+SUM(AA5:AA32)</f>
        <v/>
      </c>
      <c r="AC38" s="690">
        <f>AB38+SUM(AB5:AB32)</f>
        <v/>
      </c>
      <c r="AD38" s="691">
        <f>R38</f>
        <v/>
      </c>
      <c r="AE38" s="680" t="n"/>
      <c r="AF38" s="690">
        <f>AD38+SUM(AD5:AD32)</f>
        <v/>
      </c>
      <c r="AG38" s="690">
        <f>AF38+SUM(AF5:AF32)</f>
        <v/>
      </c>
      <c r="AH38" s="690">
        <f>AG38+SUM(AG5:AG32)</f>
        <v/>
      </c>
      <c r="AI38" s="690">
        <f>AH38+SUM(AH5:AH32)</f>
        <v/>
      </c>
      <c r="AJ38" s="690">
        <f>AI38+SUM(AI5:AI32)</f>
        <v/>
      </c>
      <c r="AK38" s="690">
        <f>AJ38+SUM(AJ5:AJ32)</f>
        <v/>
      </c>
      <c r="AL38" s="690">
        <f>AK38+SUM(AK5:AK32)</f>
        <v/>
      </c>
      <c r="AM38" s="690">
        <f>AL38+SUM(AL5:AL32)</f>
        <v/>
      </c>
      <c r="AN38" s="690">
        <f>AM38+SUM(AM5:AM32)</f>
        <v/>
      </c>
      <c r="AO38" s="690">
        <f>AN38+SUM(AN5:AN32)</f>
        <v/>
      </c>
      <c r="AP38" s="690">
        <f>AO38+SUM(AO5:AO32)</f>
        <v/>
      </c>
      <c r="AQ38" s="690">
        <f>AP38+SUM(AP5:AP32)</f>
        <v/>
      </c>
      <c r="AR38" s="691">
        <f>AF38</f>
        <v/>
      </c>
      <c r="AS38" s="680" t="n"/>
      <c r="AT38" s="690">
        <f>AR38+SUM(AR5:AR32)</f>
        <v/>
      </c>
      <c r="AU38" s="690">
        <f>AT38+SUM(AT5:AT32)</f>
        <v/>
      </c>
      <c r="AV38" s="690">
        <f>AU38+SUM(AU5:AU32)</f>
        <v/>
      </c>
      <c r="AW38" s="690">
        <f>AV38+SUM(AV5:AV32)</f>
        <v/>
      </c>
      <c r="AX38" s="690">
        <f>AW38+SUM(AW5:AW32)</f>
        <v/>
      </c>
      <c r="AY38" s="690">
        <f>AX38+SUM(AX5:AX32)</f>
        <v/>
      </c>
      <c r="AZ38" s="690">
        <f>AY38+SUM(AY5:AY32)</f>
        <v/>
      </c>
      <c r="BA38" s="690">
        <f>AZ38+SUM(AZ5:AZ32)</f>
        <v/>
      </c>
      <c r="BB38" s="690">
        <f>BA38+SUM(BA5:BA32)</f>
        <v/>
      </c>
      <c r="BC38" s="690">
        <f>BB38+SUM(BB5:BB32)</f>
        <v/>
      </c>
      <c r="BD38" s="690">
        <f>BC38+SUM(BC5:BC32)</f>
        <v/>
      </c>
      <c r="BE38" s="690">
        <f>BD38+SUM(BD5:BD32)</f>
        <v/>
      </c>
      <c r="BF38" s="691">
        <f>AT38</f>
        <v/>
      </c>
      <c r="BH38" s="690">
        <f>BF38+SUM(BF5:BF32)</f>
        <v/>
      </c>
      <c r="BI38" s="690">
        <f>BH38+SUM(BH5:BH32)</f>
        <v/>
      </c>
      <c r="BJ38" s="690">
        <f>BI38+SUM(BI5:BI32)</f>
        <v/>
      </c>
      <c r="BK38" s="690">
        <f>BJ38+SUM(BJ5:BJ32)</f>
        <v/>
      </c>
      <c r="BL38" s="690">
        <f>BK38+SUM(BK5:BK32)</f>
        <v/>
      </c>
      <c r="BM38" s="690">
        <f>BL38+SUM(BL5:BL32)</f>
        <v/>
      </c>
      <c r="BN38" s="690">
        <f>BM38+SUM(BM5:BM32)</f>
        <v/>
      </c>
      <c r="BO38" s="690">
        <f>BN38+SUM(BN5:BN32)</f>
        <v/>
      </c>
      <c r="BP38" s="690">
        <f>BO38+SUM(BO5:BO32)</f>
        <v/>
      </c>
      <c r="BQ38" s="690">
        <f>BP38+SUM(BP5:BP32)</f>
        <v/>
      </c>
      <c r="BR38" s="690">
        <f>BQ38+SUM(BQ5:BQ32)</f>
        <v/>
      </c>
      <c r="BS38" s="690">
        <f>BR38+SUM(BR5:BR32)</f>
        <v/>
      </c>
      <c r="BT38" s="691">
        <f>BH38</f>
        <v/>
      </c>
    </row>
    <row r="40" ht="13.5" customHeight="1" thickBot="1">
      <c r="C40" s="692">
        <f>SUM(C5:C38)</f>
        <v/>
      </c>
      <c r="D40" s="692">
        <f>SUM(D5:D38)</f>
        <v/>
      </c>
      <c r="E40" s="692">
        <f>SUM(E5:E38)</f>
        <v/>
      </c>
      <c r="F40" s="692">
        <f>SUM(F5:F38)</f>
        <v/>
      </c>
      <c r="G40" s="692">
        <f>SUM(G5:G38)</f>
        <v/>
      </c>
      <c r="H40" s="692">
        <f>SUM(H5:H38)</f>
        <v/>
      </c>
      <c r="I40" s="692">
        <f>SUM(I5:I38)</f>
        <v/>
      </c>
      <c r="J40" s="692">
        <f>SUM(J5:J38)</f>
        <v/>
      </c>
      <c r="K40" s="692">
        <f>SUM(K5:K38)</f>
        <v/>
      </c>
      <c r="L40" s="692">
        <f>SUM(L5:L38)</f>
        <v/>
      </c>
      <c r="M40" s="692">
        <f>SUM(M5:M38)</f>
        <v/>
      </c>
      <c r="N40" s="692">
        <f>SUM(N5:N38)</f>
        <v/>
      </c>
      <c r="O40" s="692">
        <f>SUM(O5:O38)</f>
        <v/>
      </c>
      <c r="P40" s="692">
        <f>SUM(P5:P38)</f>
        <v/>
      </c>
      <c r="R40" s="692">
        <f>SUM(R5:R38)</f>
        <v/>
      </c>
      <c r="S40" s="692">
        <f>SUM(S5:S38)</f>
        <v/>
      </c>
      <c r="T40" s="692">
        <f>SUM(T5:T38)</f>
        <v/>
      </c>
      <c r="U40" s="692">
        <f>SUM(U5:U38)</f>
        <v/>
      </c>
      <c r="V40" s="692">
        <f>SUM(V5:V38)</f>
        <v/>
      </c>
      <c r="W40" s="692">
        <f>SUM(W5:W38)</f>
        <v/>
      </c>
      <c r="X40" s="692">
        <f>SUM(X5:X38)</f>
        <v/>
      </c>
      <c r="Y40" s="692">
        <f>SUM(Y5:Y38)</f>
        <v/>
      </c>
      <c r="Z40" s="692">
        <f>SUM(Z5:Z38)</f>
        <v/>
      </c>
      <c r="AA40" s="692">
        <f>SUM(AA5:AA38)</f>
        <v/>
      </c>
      <c r="AB40" s="692">
        <f>SUM(AB5:AB38)</f>
        <v/>
      </c>
      <c r="AC40" s="692">
        <f>SUM(AC5:AC38)</f>
        <v/>
      </c>
      <c r="AD40" s="692">
        <f>SUM(AD5:AD38)</f>
        <v/>
      </c>
      <c r="AF40" s="692">
        <f>SUM(AF5:AF38)</f>
        <v/>
      </c>
      <c r="AG40" s="692">
        <f>SUM(AG5:AG38)</f>
        <v/>
      </c>
      <c r="AH40" s="692">
        <f>SUM(AH5:AH38)</f>
        <v/>
      </c>
      <c r="AI40" s="692">
        <f>SUM(AI5:AI38)</f>
        <v/>
      </c>
      <c r="AJ40" s="692">
        <f>SUM(AJ5:AJ38)</f>
        <v/>
      </c>
      <c r="AK40" s="692">
        <f>SUM(AK5:AK38)</f>
        <v/>
      </c>
      <c r="AL40" s="692">
        <f>SUM(AL5:AL38)</f>
        <v/>
      </c>
      <c r="AM40" s="692">
        <f>SUM(AM5:AM38)</f>
        <v/>
      </c>
      <c r="AN40" s="692">
        <f>SUM(AN5:AN38)</f>
        <v/>
      </c>
      <c r="AO40" s="692">
        <f>SUM(AO5:AO38)</f>
        <v/>
      </c>
      <c r="AP40" s="692">
        <f>SUM(AP5:AP38)</f>
        <v/>
      </c>
      <c r="AQ40" s="692">
        <f>SUM(AQ5:AQ38)</f>
        <v/>
      </c>
      <c r="AR40" s="692">
        <f>SUM(AR5:AR38)</f>
        <v/>
      </c>
      <c r="AT40" s="692">
        <f>SUM(AT5:AT38)</f>
        <v/>
      </c>
      <c r="AU40" s="692">
        <f>SUM(AU5:AU38)</f>
        <v/>
      </c>
      <c r="AV40" s="692">
        <f>SUM(AV5:AV38)</f>
        <v/>
      </c>
      <c r="AW40" s="692">
        <f>SUM(AW5:AW38)</f>
        <v/>
      </c>
      <c r="AX40" s="692">
        <f>SUM(AX5:AX38)</f>
        <v/>
      </c>
      <c r="AY40" s="692">
        <f>SUM(AY5:AY38)</f>
        <v/>
      </c>
      <c r="AZ40" s="692">
        <f>SUM(AZ5:AZ38)</f>
        <v/>
      </c>
      <c r="BA40" s="692">
        <f>SUM(BA5:BA38)</f>
        <v/>
      </c>
      <c r="BB40" s="692">
        <f>SUM(BB5:BB38)</f>
        <v/>
      </c>
      <c r="BC40" s="692">
        <f>SUM(BC5:BC38)</f>
        <v/>
      </c>
      <c r="BD40" s="692">
        <f>SUM(BD5:BD38)</f>
        <v/>
      </c>
      <c r="BE40" s="692">
        <f>SUM(BE5:BE38)</f>
        <v/>
      </c>
      <c r="BF40" s="692">
        <f>SUM(BF5:BF38)</f>
        <v/>
      </c>
      <c r="BH40" s="692">
        <f>SUM(BH5:BH38)</f>
        <v/>
      </c>
      <c r="BI40" s="692">
        <f>SUM(BI5:BI38)</f>
        <v/>
      </c>
      <c r="BJ40" s="692">
        <f>SUM(BJ5:BJ38)</f>
        <v/>
      </c>
      <c r="BK40" s="692">
        <f>SUM(BK5:BK38)</f>
        <v/>
      </c>
      <c r="BL40" s="692">
        <f>SUM(BL5:BL38)</f>
        <v/>
      </c>
      <c r="BM40" s="692">
        <f>SUM(BM5:BM38)</f>
        <v/>
      </c>
      <c r="BN40" s="692">
        <f>SUM(BN5:BN38)</f>
        <v/>
      </c>
      <c r="BO40" s="692">
        <f>SUM(BO5:BO38)</f>
        <v/>
      </c>
      <c r="BP40" s="692">
        <f>SUM(BP5:BP38)</f>
        <v/>
      </c>
      <c r="BQ40" s="692">
        <f>SUM(BQ5:BQ38)</f>
        <v/>
      </c>
      <c r="BR40" s="692">
        <f>SUM(BR5:BR38)</f>
        <v/>
      </c>
      <c r="BS40" s="692">
        <f>SUM(BS5:BS38)</f>
        <v/>
      </c>
      <c r="BT40" s="692">
        <f>SUM(BT5:BT38)</f>
        <v/>
      </c>
    </row>
    <row r="41" ht="7.5" customHeight="1" thickTop="1"/>
  </sheetData>
  <pageMargins left="0.7" right="0.7" top="0.75" bottom="0.75" header="0.3" footer="0.3"/>
  <pageSetup orientation="portrait" paperSize="9"/>
  <headerFooter>
    <oddHeader>&amp;C&amp;F!&amp;A</oddHeader>
    <oddFooter>&amp;CPage 4 of 12&amp;R?2016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2:H27"/>
  <sheetViews>
    <sheetView zoomScale="40" zoomScaleNormal="40" workbookViewId="0">
      <selection activeCell="S34" sqref="S34"/>
    </sheetView>
  </sheetViews>
  <sheetFormatPr baseColWidth="8" defaultRowHeight="12.75"/>
  <cols>
    <col width="23.28515625" customWidth="1" min="3" max="3"/>
  </cols>
  <sheetData>
    <row r="12">
      <c r="C12" s="75" t="n"/>
    </row>
    <row r="13" ht="15.75" customHeight="1">
      <c r="C13" s="77" t="n"/>
    </row>
    <row r="14" ht="33.75" customHeight="1">
      <c r="B14" s="468" t="inlineStr">
        <is>
          <t>SOLAR POWERED WIFI</t>
        </is>
      </c>
    </row>
    <row r="15" ht="15.75" customHeight="1">
      <c r="C15" s="76" t="n"/>
    </row>
    <row r="24" ht="50.25" customHeight="1">
      <c r="B24" s="78" t="n"/>
      <c r="C24" s="78" t="n"/>
      <c r="D24" s="78" t="n"/>
      <c r="E24" s="78" t="n"/>
      <c r="F24" s="78" t="n"/>
      <c r="G24" s="78" t="n"/>
      <c r="H24" s="78" t="n"/>
    </row>
    <row r="27" ht="41.25" customHeight="1">
      <c r="A27" s="481" t="inlineStr">
        <is>
          <t>FORECASTS FOR 5 YEARS</t>
        </is>
      </c>
    </row>
  </sheetData>
  <mergeCells count="1">
    <mergeCell ref="A27:H27"/>
  </mergeCells>
  <pageMargins left="0.7" right="0.7" top="0.75" bottom="0.75" header="0.3" footer="0.3"/>
  <pageSetup orientation="portrait" paperSize="9"/>
  <headerFooter>
    <oddHeader>&amp;C&amp;F!&amp;A</oddHeader>
    <oddFooter>&amp;CPage 5 of 12&amp;R?2016</oddFooter>
    <evenHeader/>
    <evenFooter/>
    <firstHeader/>
    <firstFooter/>
  </headerFooter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6">
    <outlinePr summaryBelow="1" summaryRight="1"/>
    <pageSetUpPr/>
  </sheetPr>
  <dimension ref="A1:BS49"/>
  <sheetViews>
    <sheetView view="pageBreakPreview" zoomScaleNormal="90" zoomScaleSheetLayoutView="100" workbookViewId="0">
      <pane xSplit="1" ySplit="5" topLeftCell="B16" activePane="bottomRight" state="frozen"/>
      <selection pane="topRight" activeCell="AK19" sqref="AK19"/>
      <selection pane="bottomLeft" activeCell="AK19" sqref="AK19"/>
      <selection pane="bottomRight" activeCell="A30" sqref="A30"/>
    </sheetView>
  </sheetViews>
  <sheetFormatPr baseColWidth="8" defaultRowHeight="12.75"/>
  <cols>
    <col width="28.140625" customWidth="1" style="14" min="1" max="1"/>
    <col width="12.7109375" customWidth="1" style="14" min="2" max="14"/>
    <col width="12.7109375" customWidth="1" style="17" min="15" max="15"/>
    <col width="1.28515625" customWidth="1" style="12" min="16" max="16"/>
    <col width="13.7109375" customWidth="1" style="12" min="17" max="18"/>
    <col width="13.7109375" customWidth="1" min="19" max="29"/>
    <col width="2.140625" customWidth="1" min="30" max="30"/>
    <col width="13.7109375" customWidth="1" min="31" max="43"/>
    <col width="1.7109375" customWidth="1" min="44" max="44"/>
    <col width="13.7109375" customWidth="1" min="45" max="57"/>
    <col width="2.5703125" customWidth="1" min="58" max="58"/>
    <col width="13.7109375" customWidth="1" min="59" max="71"/>
  </cols>
  <sheetData>
    <row r="1" ht="10.5" customHeight="1">
      <c r="A1" s="70" t="n"/>
    </row>
    <row r="2" ht="12" customHeight="1">
      <c r="A2" s="71" t="n"/>
      <c r="C2" s="693" t="n"/>
    </row>
    <row r="3" ht="10.5" customHeight="1"/>
    <row r="4" ht="15" customHeight="1">
      <c r="B4" s="694" t="inlineStr">
        <is>
          <t>Profit and Loss- Year 1</t>
        </is>
      </c>
      <c r="Q4" s="694" t="inlineStr">
        <is>
          <t>Profit and Loss- Year 2</t>
        </is>
      </c>
      <c r="AE4" s="694" t="inlineStr">
        <is>
          <t>Profit and Loss- Year 3</t>
        </is>
      </c>
      <c r="AS4" s="694" t="inlineStr">
        <is>
          <t>Profit and Loss- Year 4</t>
        </is>
      </c>
      <c r="BG4" s="694" t="inlineStr">
        <is>
          <t>Profit and Loss- Year 5</t>
        </is>
      </c>
    </row>
    <row r="5" ht="12.75" customHeight="1">
      <c r="B5" s="695" t="inlineStr">
        <is>
          <t>Start Up</t>
        </is>
      </c>
      <c r="C5" s="695" t="inlineStr">
        <is>
          <t>Mnth 1</t>
        </is>
      </c>
      <c r="D5" s="695" t="inlineStr">
        <is>
          <t>Mnth 2</t>
        </is>
      </c>
      <c r="E5" s="695" t="inlineStr">
        <is>
          <t>Mnth 3</t>
        </is>
      </c>
      <c r="F5" s="695" t="inlineStr">
        <is>
          <t>Mnth 4</t>
        </is>
      </c>
      <c r="G5" s="695" t="inlineStr">
        <is>
          <t>Mnth 5</t>
        </is>
      </c>
      <c r="H5" s="695" t="inlineStr">
        <is>
          <t>Mnth 6</t>
        </is>
      </c>
      <c r="I5" s="695" t="inlineStr">
        <is>
          <t>Mnth 7</t>
        </is>
      </c>
      <c r="J5" s="695" t="inlineStr">
        <is>
          <t>Mnth 8</t>
        </is>
      </c>
      <c r="K5" s="695" t="inlineStr">
        <is>
          <t>Mnth 9</t>
        </is>
      </c>
      <c r="L5" s="695" t="inlineStr">
        <is>
          <t>Mnth 10</t>
        </is>
      </c>
      <c r="M5" s="695" t="inlineStr">
        <is>
          <t>Mnth 11</t>
        </is>
      </c>
      <c r="N5" s="695" t="inlineStr">
        <is>
          <t>Mnth 12</t>
        </is>
      </c>
      <c r="O5" s="695" t="inlineStr">
        <is>
          <t>Total</t>
        </is>
      </c>
      <c r="Q5" s="695" t="inlineStr">
        <is>
          <t>Mnth 1</t>
        </is>
      </c>
      <c r="R5" s="695" t="inlineStr">
        <is>
          <t>Mnth 2</t>
        </is>
      </c>
      <c r="S5" s="695" t="inlineStr">
        <is>
          <t>Mnth 3</t>
        </is>
      </c>
      <c r="T5" s="695" t="inlineStr">
        <is>
          <t>Mnth 4</t>
        </is>
      </c>
      <c r="U5" s="695" t="inlineStr">
        <is>
          <t>Mnth 5</t>
        </is>
      </c>
      <c r="V5" s="695" t="inlineStr">
        <is>
          <t>Mnth 6</t>
        </is>
      </c>
      <c r="W5" s="695" t="inlineStr">
        <is>
          <t>Mnth 7</t>
        </is>
      </c>
      <c r="X5" s="695" t="inlineStr">
        <is>
          <t>Mnth 8</t>
        </is>
      </c>
      <c r="Y5" s="695" t="inlineStr">
        <is>
          <t>Mnth 9</t>
        </is>
      </c>
      <c r="Z5" s="695" t="inlineStr">
        <is>
          <t>Mnth 10</t>
        </is>
      </c>
      <c r="AA5" s="695" t="inlineStr">
        <is>
          <t>Mnth 11</t>
        </is>
      </c>
      <c r="AB5" s="695" t="inlineStr">
        <is>
          <t>Mnth 12</t>
        </is>
      </c>
      <c r="AC5" s="695" t="inlineStr">
        <is>
          <t>Total</t>
        </is>
      </c>
      <c r="AE5" s="695" t="inlineStr">
        <is>
          <t>Mnth 1</t>
        </is>
      </c>
      <c r="AF5" s="695" t="inlineStr">
        <is>
          <t>Mnth 2</t>
        </is>
      </c>
      <c r="AG5" s="695" t="inlineStr">
        <is>
          <t>Mnth 3</t>
        </is>
      </c>
      <c r="AH5" s="695" t="inlineStr">
        <is>
          <t>Mnth 4</t>
        </is>
      </c>
      <c r="AI5" s="695" t="inlineStr">
        <is>
          <t>Mnth 5</t>
        </is>
      </c>
      <c r="AJ5" s="695" t="inlineStr">
        <is>
          <t>Mnth 6</t>
        </is>
      </c>
      <c r="AK5" s="695" t="inlineStr">
        <is>
          <t>Mnth 7</t>
        </is>
      </c>
      <c r="AL5" s="695" t="inlineStr">
        <is>
          <t>Mnth 8</t>
        </is>
      </c>
      <c r="AM5" s="695" t="inlineStr">
        <is>
          <t>Mnth 9</t>
        </is>
      </c>
      <c r="AN5" s="695" t="inlineStr">
        <is>
          <t>Mnth 10</t>
        </is>
      </c>
      <c r="AO5" s="695" t="inlineStr">
        <is>
          <t>Mnth 11</t>
        </is>
      </c>
      <c r="AP5" s="695" t="inlineStr">
        <is>
          <t>Mnth 12</t>
        </is>
      </c>
      <c r="AQ5" s="695" t="inlineStr">
        <is>
          <t>Total</t>
        </is>
      </c>
      <c r="AR5" s="695" t="n"/>
      <c r="AS5" s="695" t="inlineStr">
        <is>
          <t>Mnth 1</t>
        </is>
      </c>
      <c r="AT5" s="695" t="inlineStr">
        <is>
          <t>Mnth 2</t>
        </is>
      </c>
      <c r="AU5" s="695" t="inlineStr">
        <is>
          <t>Mnth 3</t>
        </is>
      </c>
      <c r="AV5" s="695" t="inlineStr">
        <is>
          <t>Mnth 4</t>
        </is>
      </c>
      <c r="AW5" s="695" t="inlineStr">
        <is>
          <t>Mnth 5</t>
        </is>
      </c>
      <c r="AX5" s="695" t="inlineStr">
        <is>
          <t>Mnth 6</t>
        </is>
      </c>
      <c r="AY5" s="695" t="inlineStr">
        <is>
          <t>Mnth 7</t>
        </is>
      </c>
      <c r="AZ5" s="695" t="inlineStr">
        <is>
          <t>Mnth 8</t>
        </is>
      </c>
      <c r="BA5" s="695" t="inlineStr">
        <is>
          <t>Mnth 9</t>
        </is>
      </c>
      <c r="BB5" s="695" t="inlineStr">
        <is>
          <t>Mnth 10</t>
        </is>
      </c>
      <c r="BC5" s="695" t="inlineStr">
        <is>
          <t>Mnth 11</t>
        </is>
      </c>
      <c r="BD5" s="695" t="inlineStr">
        <is>
          <t>Mnth 12</t>
        </is>
      </c>
      <c r="BE5" s="695" t="inlineStr">
        <is>
          <t>Total</t>
        </is>
      </c>
      <c r="BG5" s="695" t="inlineStr">
        <is>
          <t>Mnth 1</t>
        </is>
      </c>
      <c r="BH5" s="695" t="inlineStr">
        <is>
          <t>Mnth 2</t>
        </is>
      </c>
      <c r="BI5" s="695" t="inlineStr">
        <is>
          <t>Mnth 3</t>
        </is>
      </c>
      <c r="BJ5" s="695" t="inlineStr">
        <is>
          <t>Mnth 4</t>
        </is>
      </c>
      <c r="BK5" s="695" t="inlineStr">
        <is>
          <t>Mnth 5</t>
        </is>
      </c>
      <c r="BL5" s="695" t="inlineStr">
        <is>
          <t>Mnth 6</t>
        </is>
      </c>
      <c r="BM5" s="695" t="inlineStr">
        <is>
          <t>Mnth 7</t>
        </is>
      </c>
      <c r="BN5" s="695" t="inlineStr">
        <is>
          <t>Mnth 8</t>
        </is>
      </c>
      <c r="BO5" s="695" t="inlineStr">
        <is>
          <t>Mnth 9</t>
        </is>
      </c>
      <c r="BP5" s="695" t="inlineStr">
        <is>
          <t>Mnth 10</t>
        </is>
      </c>
      <c r="BQ5" s="695" t="inlineStr">
        <is>
          <t>Mnth 11</t>
        </is>
      </c>
      <c r="BR5" s="695" t="inlineStr">
        <is>
          <t>Mnth 12</t>
        </is>
      </c>
      <c r="BS5" s="695" t="inlineStr">
        <is>
          <t>Total</t>
        </is>
      </c>
    </row>
    <row r="6" ht="12.75" customHeight="1">
      <c r="B6" s="73" t="inlineStr">
        <is>
          <t>$</t>
        </is>
      </c>
      <c r="C6" s="73" t="inlineStr">
        <is>
          <t>$</t>
        </is>
      </c>
      <c r="D6" s="73" t="inlineStr">
        <is>
          <t>$</t>
        </is>
      </c>
      <c r="E6" s="73" t="inlineStr">
        <is>
          <t>$</t>
        </is>
      </c>
      <c r="F6" s="73" t="inlineStr">
        <is>
          <t>$</t>
        </is>
      </c>
      <c r="G6" s="73" t="inlineStr">
        <is>
          <t>$</t>
        </is>
      </c>
      <c r="H6" s="73" t="inlineStr">
        <is>
          <t>$</t>
        </is>
      </c>
      <c r="I6" s="73" t="inlineStr">
        <is>
          <t>$</t>
        </is>
      </c>
      <c r="J6" s="73" t="inlineStr">
        <is>
          <t>$</t>
        </is>
      </c>
      <c r="K6" s="73" t="inlineStr">
        <is>
          <t>$</t>
        </is>
      </c>
      <c r="L6" s="73" t="inlineStr">
        <is>
          <t>$</t>
        </is>
      </c>
      <c r="M6" s="73" t="inlineStr">
        <is>
          <t>$</t>
        </is>
      </c>
      <c r="N6" s="73" t="inlineStr">
        <is>
          <t>$</t>
        </is>
      </c>
      <c r="O6" s="73" t="inlineStr">
        <is>
          <t>$</t>
        </is>
      </c>
      <c r="Q6" s="73" t="inlineStr">
        <is>
          <t>$</t>
        </is>
      </c>
      <c r="R6" s="73" t="inlineStr">
        <is>
          <t>$</t>
        </is>
      </c>
      <c r="S6" s="73" t="inlineStr">
        <is>
          <t>$</t>
        </is>
      </c>
      <c r="T6" s="73" t="inlineStr">
        <is>
          <t>$</t>
        </is>
      </c>
      <c r="U6" s="73" t="inlineStr">
        <is>
          <t>$</t>
        </is>
      </c>
      <c r="V6" s="73" t="inlineStr">
        <is>
          <t>$</t>
        </is>
      </c>
      <c r="W6" s="73" t="inlineStr">
        <is>
          <t>$</t>
        </is>
      </c>
      <c r="X6" s="73" t="inlineStr">
        <is>
          <t>$</t>
        </is>
      </c>
      <c r="Y6" s="73" t="inlineStr">
        <is>
          <t>$</t>
        </is>
      </c>
      <c r="Z6" s="73" t="inlineStr">
        <is>
          <t>$</t>
        </is>
      </c>
      <c r="AA6" s="73" t="inlineStr">
        <is>
          <t>$</t>
        </is>
      </c>
      <c r="AB6" s="73" t="inlineStr">
        <is>
          <t>$</t>
        </is>
      </c>
      <c r="AC6" s="73" t="inlineStr">
        <is>
          <t>$</t>
        </is>
      </c>
      <c r="AE6" s="73" t="inlineStr">
        <is>
          <t>$</t>
        </is>
      </c>
      <c r="AF6" s="73" t="inlineStr">
        <is>
          <t>$</t>
        </is>
      </c>
      <c r="AG6" s="73" t="inlineStr">
        <is>
          <t>$</t>
        </is>
      </c>
      <c r="AH6" s="73" t="inlineStr">
        <is>
          <t>$</t>
        </is>
      </c>
      <c r="AI6" s="73" t="inlineStr">
        <is>
          <t>$</t>
        </is>
      </c>
      <c r="AJ6" s="73" t="inlineStr">
        <is>
          <t>$</t>
        </is>
      </c>
      <c r="AK6" s="73" t="inlineStr">
        <is>
          <t>$</t>
        </is>
      </c>
      <c r="AL6" s="73" t="inlineStr">
        <is>
          <t>$</t>
        </is>
      </c>
      <c r="AM6" s="73" t="inlineStr">
        <is>
          <t>$</t>
        </is>
      </c>
      <c r="AN6" s="73" t="inlineStr">
        <is>
          <t>$</t>
        </is>
      </c>
      <c r="AO6" s="73" t="inlineStr">
        <is>
          <t>$</t>
        </is>
      </c>
      <c r="AP6" s="73" t="inlineStr">
        <is>
          <t>$</t>
        </is>
      </c>
      <c r="AQ6" s="73" t="inlineStr">
        <is>
          <t>$</t>
        </is>
      </c>
      <c r="AR6" s="73" t="n"/>
      <c r="AS6" s="73" t="inlineStr">
        <is>
          <t>$</t>
        </is>
      </c>
      <c r="AT6" s="73" t="inlineStr">
        <is>
          <t>$</t>
        </is>
      </c>
      <c r="AU6" s="73" t="inlineStr">
        <is>
          <t>$</t>
        </is>
      </c>
      <c r="AV6" s="73" t="inlineStr">
        <is>
          <t>$</t>
        </is>
      </c>
      <c r="AW6" s="73" t="inlineStr">
        <is>
          <t>$</t>
        </is>
      </c>
      <c r="AX6" s="73" t="inlineStr">
        <is>
          <t>$</t>
        </is>
      </c>
      <c r="AY6" s="73" t="inlineStr">
        <is>
          <t>$</t>
        </is>
      </c>
      <c r="AZ6" s="73" t="inlineStr">
        <is>
          <t>$</t>
        </is>
      </c>
      <c r="BA6" s="73" t="inlineStr">
        <is>
          <t>$</t>
        </is>
      </c>
      <c r="BB6" s="73" t="inlineStr">
        <is>
          <t>$</t>
        </is>
      </c>
      <c r="BC6" s="73" t="inlineStr">
        <is>
          <t>$</t>
        </is>
      </c>
      <c r="BD6" s="73" t="inlineStr">
        <is>
          <t>$</t>
        </is>
      </c>
      <c r="BE6" s="73" t="inlineStr">
        <is>
          <t>$</t>
        </is>
      </c>
      <c r="BF6" s="73" t="n"/>
      <c r="BG6" s="73" t="inlineStr">
        <is>
          <t>$</t>
        </is>
      </c>
      <c r="BH6" s="73" t="inlineStr">
        <is>
          <t>$</t>
        </is>
      </c>
      <c r="BI6" s="73" t="inlineStr">
        <is>
          <t>$</t>
        </is>
      </c>
      <c r="BJ6" s="73" t="inlineStr">
        <is>
          <t>$</t>
        </is>
      </c>
      <c r="BK6" s="73" t="inlineStr">
        <is>
          <t>$</t>
        </is>
      </c>
      <c r="BL6" s="73" t="inlineStr">
        <is>
          <t>$</t>
        </is>
      </c>
      <c r="BM6" s="73" t="inlineStr">
        <is>
          <t>$</t>
        </is>
      </c>
      <c r="BN6" s="73" t="inlineStr">
        <is>
          <t>$</t>
        </is>
      </c>
      <c r="BO6" s="73" t="inlineStr">
        <is>
          <t>$</t>
        </is>
      </c>
      <c r="BP6" s="73" t="inlineStr">
        <is>
          <t>$</t>
        </is>
      </c>
      <c r="BQ6" s="73" t="inlineStr">
        <is>
          <t>$</t>
        </is>
      </c>
      <c r="BR6" s="73" t="inlineStr">
        <is>
          <t>$</t>
        </is>
      </c>
      <c r="BS6" s="73" t="inlineStr">
        <is>
          <t>$</t>
        </is>
      </c>
    </row>
    <row r="7">
      <c r="A7" s="696" t="inlineStr">
        <is>
          <t>Sales</t>
        </is>
      </c>
    </row>
    <row r="8">
      <c r="A8" s="697" t="inlineStr">
        <is>
          <t>Daily wifi topups</t>
        </is>
      </c>
      <c r="B8" s="698">
        <f>-SUMIF('TB Mnthly'!$A:$A,'PnL Mnthly'!$A8,'TB Mnthly'!C:C)</f>
        <v/>
      </c>
      <c r="C8" s="698">
        <f>-SUMIF('TB Mnthly'!$A:$A,'PnL Mnthly'!$A8,'TB Mnthly'!D:D)</f>
        <v/>
      </c>
      <c r="D8" s="698">
        <f>-SUMIF('TB Mnthly'!$A:$A,'PnL Mnthly'!$A8,'TB Mnthly'!E:E)</f>
        <v/>
      </c>
      <c r="E8" s="698">
        <f>-SUMIF('TB Mnthly'!$A:$A,'PnL Mnthly'!$A8,'TB Mnthly'!F:F)</f>
        <v/>
      </c>
      <c r="F8" s="698">
        <f>-SUMIF('TB Mnthly'!$A:$A,'PnL Mnthly'!$A8,'TB Mnthly'!G:G)</f>
        <v/>
      </c>
      <c r="G8" s="698">
        <f>-SUMIF('TB Mnthly'!$A:$A,'PnL Mnthly'!$A8,'TB Mnthly'!H:H)</f>
        <v/>
      </c>
      <c r="H8" s="698">
        <f>-SUMIF('TB Mnthly'!$A:$A,'PnL Mnthly'!$A8,'TB Mnthly'!I:I)</f>
        <v/>
      </c>
      <c r="I8" s="698">
        <f>-SUMIF('TB Mnthly'!$A:$A,'PnL Mnthly'!$A8,'TB Mnthly'!J:J)</f>
        <v/>
      </c>
      <c r="J8" s="698">
        <f>-SUMIF('TB Mnthly'!$A:$A,'PnL Mnthly'!$A8,'TB Mnthly'!K:K)</f>
        <v/>
      </c>
      <c r="K8" s="698">
        <f>-SUMIF('TB Mnthly'!$A:$A,'PnL Mnthly'!$A8,'TB Mnthly'!L:L)</f>
        <v/>
      </c>
      <c r="L8" s="698">
        <f>-SUMIF('TB Mnthly'!$A:$A,'PnL Mnthly'!$A8,'TB Mnthly'!M:M)</f>
        <v/>
      </c>
      <c r="M8" s="698">
        <f>-SUMIF('TB Mnthly'!$A:$A,'PnL Mnthly'!$A8,'TB Mnthly'!N:N)</f>
        <v/>
      </c>
      <c r="N8" s="698">
        <f>-SUMIF('TB Mnthly'!$A:$A,'PnL Mnthly'!$A8,'TB Mnthly'!O:O)</f>
        <v/>
      </c>
      <c r="O8" s="699">
        <f>SUM(B8:N8)</f>
        <v/>
      </c>
      <c r="P8" s="700" t="n"/>
      <c r="Q8" s="698">
        <f>-SUMIF('TB Mnthly'!$A:$A,'PnL Mnthly'!$A8,'TB Mnthly'!R:R)</f>
        <v/>
      </c>
      <c r="R8" s="698">
        <f>-SUMIF('TB Mnthly'!$A:$A,'PnL Mnthly'!$A8,'TB Mnthly'!S:S)</f>
        <v/>
      </c>
      <c r="S8" s="698">
        <f>-SUMIF('TB Mnthly'!$A:$A,'PnL Mnthly'!$A8,'TB Mnthly'!T:T)</f>
        <v/>
      </c>
      <c r="T8" s="698">
        <f>-SUMIF('TB Mnthly'!$A:$A,'PnL Mnthly'!$A8,'TB Mnthly'!U:U)</f>
        <v/>
      </c>
      <c r="U8" s="698">
        <f>-SUMIF('TB Mnthly'!$A:$A,'PnL Mnthly'!$A8,'TB Mnthly'!V:V)</f>
        <v/>
      </c>
      <c r="V8" s="698">
        <f>-SUMIF('TB Mnthly'!$A:$A,'PnL Mnthly'!$A8,'TB Mnthly'!W:W)</f>
        <v/>
      </c>
      <c r="W8" s="698">
        <f>-SUMIF('TB Mnthly'!$A:$A,'PnL Mnthly'!$A8,'TB Mnthly'!X:X)</f>
        <v/>
      </c>
      <c r="X8" s="698">
        <f>-SUMIF('TB Mnthly'!$A:$A,'PnL Mnthly'!$A8,'TB Mnthly'!Y:Y)</f>
        <v/>
      </c>
      <c r="Y8" s="698">
        <f>-SUMIF('TB Mnthly'!$A:$A,'PnL Mnthly'!$A8,'TB Mnthly'!Z:Z)</f>
        <v/>
      </c>
      <c r="Z8" s="698">
        <f>-SUMIF('TB Mnthly'!$A:$A,'PnL Mnthly'!$A8,'TB Mnthly'!AA:AA)</f>
        <v/>
      </c>
      <c r="AA8" s="698">
        <f>-SUMIF('TB Mnthly'!$A:$A,'PnL Mnthly'!$A8,'TB Mnthly'!AB:AB)</f>
        <v/>
      </c>
      <c r="AB8" s="698">
        <f>-SUMIF('TB Mnthly'!$A:$A,'PnL Mnthly'!$A8,'TB Mnthly'!AC:AC)</f>
        <v/>
      </c>
      <c r="AC8" s="699">
        <f>SUM(P8:AB8)</f>
        <v/>
      </c>
      <c r="AD8" s="701" t="n"/>
      <c r="AE8" s="698">
        <f>-SUMIF('TB Mnthly'!$A:$A,'PnL Mnthly'!$A8,'TB Mnthly'!AF:AF)</f>
        <v/>
      </c>
      <c r="AF8" s="698">
        <f>-SUMIF('TB Mnthly'!$A:$A,'PnL Mnthly'!$A8,'TB Mnthly'!AG:AG)</f>
        <v/>
      </c>
      <c r="AG8" s="698">
        <f>-SUMIF('TB Mnthly'!$A:$A,'PnL Mnthly'!$A8,'TB Mnthly'!AH:AH)</f>
        <v/>
      </c>
      <c r="AH8" s="698">
        <f>-SUMIF('TB Mnthly'!$A:$A,'PnL Mnthly'!$A8,'TB Mnthly'!AI:AI)</f>
        <v/>
      </c>
      <c r="AI8" s="698">
        <f>-SUMIF('TB Mnthly'!$A:$A,'PnL Mnthly'!$A8,'TB Mnthly'!AJ:AJ)</f>
        <v/>
      </c>
      <c r="AJ8" s="698">
        <f>-SUMIF('TB Mnthly'!$A:$A,'PnL Mnthly'!$A8,'TB Mnthly'!AK:AK)</f>
        <v/>
      </c>
      <c r="AK8" s="698">
        <f>-SUMIF('TB Mnthly'!$A:$A,'PnL Mnthly'!$A8,'TB Mnthly'!AL:AL)</f>
        <v/>
      </c>
      <c r="AL8" s="698">
        <f>-SUMIF('TB Mnthly'!$A:$A,'PnL Mnthly'!$A8,'TB Mnthly'!AM:AM)</f>
        <v/>
      </c>
      <c r="AM8" s="698">
        <f>-SUMIF('TB Mnthly'!$A:$A,'PnL Mnthly'!$A8,'TB Mnthly'!AN:AN)</f>
        <v/>
      </c>
      <c r="AN8" s="698">
        <f>-SUMIF('TB Mnthly'!$A:$A,'PnL Mnthly'!$A8,'TB Mnthly'!AO:AO)</f>
        <v/>
      </c>
      <c r="AO8" s="698">
        <f>-SUMIF('TB Mnthly'!$A:$A,'PnL Mnthly'!$A8,'TB Mnthly'!AP:AP)</f>
        <v/>
      </c>
      <c r="AP8" s="698">
        <f>-SUMIF('TB Mnthly'!$A:$A,'PnL Mnthly'!$A8,'TB Mnthly'!AQ:AQ)</f>
        <v/>
      </c>
      <c r="AQ8" s="699">
        <f>SUM(AD8:AP8)</f>
        <v/>
      </c>
      <c r="AR8" s="699" t="n"/>
      <c r="AS8" s="698">
        <f>-SUMIF('TB Mnthly'!$A:$A,'PnL Mnthly'!$A8,'TB Mnthly'!AT:AT)</f>
        <v/>
      </c>
      <c r="AT8" s="698">
        <f>-SUMIF('TB Mnthly'!$A:$A,'PnL Mnthly'!$A8,'TB Mnthly'!AU:AU)</f>
        <v/>
      </c>
      <c r="AU8" s="698">
        <f>-SUMIF('TB Mnthly'!$A:$A,'PnL Mnthly'!$A8,'TB Mnthly'!AV:AV)</f>
        <v/>
      </c>
      <c r="AV8" s="698">
        <f>-SUMIF('TB Mnthly'!$A:$A,'PnL Mnthly'!$A8,'TB Mnthly'!AW:AW)</f>
        <v/>
      </c>
      <c r="AW8" s="698">
        <f>-SUMIF('TB Mnthly'!$A:$A,'PnL Mnthly'!$A8,'TB Mnthly'!AX:AX)</f>
        <v/>
      </c>
      <c r="AX8" s="698">
        <f>-SUMIF('TB Mnthly'!$A:$A,'PnL Mnthly'!$A8,'TB Mnthly'!AY:AY)</f>
        <v/>
      </c>
      <c r="AY8" s="698">
        <f>-SUMIF('TB Mnthly'!$A:$A,'PnL Mnthly'!$A8,'TB Mnthly'!AZ:AZ)</f>
        <v/>
      </c>
      <c r="AZ8" s="698">
        <f>-SUMIF('TB Mnthly'!$A:$A,'PnL Mnthly'!$A8,'TB Mnthly'!BA:BA)</f>
        <v/>
      </c>
      <c r="BA8" s="698">
        <f>-SUMIF('TB Mnthly'!$A:$A,'PnL Mnthly'!$A8,'TB Mnthly'!BB:BB)</f>
        <v/>
      </c>
      <c r="BB8" s="698">
        <f>-SUMIF('TB Mnthly'!$A:$A,'PnL Mnthly'!$A8,'TB Mnthly'!BC:BC)</f>
        <v/>
      </c>
      <c r="BC8" s="698">
        <f>-SUMIF('TB Mnthly'!$A:$A,'PnL Mnthly'!$A8,'TB Mnthly'!BD:BD)</f>
        <v/>
      </c>
      <c r="BD8" s="698">
        <f>-SUMIF('TB Mnthly'!$A:$A,'PnL Mnthly'!$A8,'TB Mnthly'!BE:BE)</f>
        <v/>
      </c>
      <c r="BE8" s="699">
        <f>SUM(AR8:BD8)</f>
        <v/>
      </c>
      <c r="BF8" s="699" t="n"/>
      <c r="BG8" s="698">
        <f>-SUMIF('TB Mnthly'!$A:$A,'PnL Mnthly'!$A8,'TB Mnthly'!BH:BH)</f>
        <v/>
      </c>
      <c r="BH8" s="698">
        <f>-SUMIF('TB Mnthly'!$A:$A,'PnL Mnthly'!$A8,'TB Mnthly'!BI:BI)</f>
        <v/>
      </c>
      <c r="BI8" s="698">
        <f>-SUMIF('TB Mnthly'!$A:$A,'PnL Mnthly'!$A8,'TB Mnthly'!BJ:BJ)</f>
        <v/>
      </c>
      <c r="BJ8" s="698">
        <f>-SUMIF('TB Mnthly'!$A:$A,'PnL Mnthly'!$A8,'TB Mnthly'!BK:BK)</f>
        <v/>
      </c>
      <c r="BK8" s="698">
        <f>-SUMIF('TB Mnthly'!$A:$A,'PnL Mnthly'!$A8,'TB Mnthly'!BL:BL)</f>
        <v/>
      </c>
      <c r="BL8" s="698">
        <f>-SUMIF('TB Mnthly'!$A:$A,'PnL Mnthly'!$A8,'TB Mnthly'!BM:BM)</f>
        <v/>
      </c>
      <c r="BM8" s="698">
        <f>-SUMIF('TB Mnthly'!$A:$A,'PnL Mnthly'!$A8,'TB Mnthly'!BN:BN)</f>
        <v/>
      </c>
      <c r="BN8" s="698">
        <f>-SUMIF('TB Mnthly'!$A:$A,'PnL Mnthly'!$A8,'TB Mnthly'!BO:BO)</f>
        <v/>
      </c>
      <c r="BO8" s="698">
        <f>-SUMIF('TB Mnthly'!$A:$A,'PnL Mnthly'!$A8,'TB Mnthly'!BP:BP)</f>
        <v/>
      </c>
      <c r="BP8" s="698">
        <f>-SUMIF('TB Mnthly'!$A:$A,'PnL Mnthly'!$A8,'TB Mnthly'!BQ:BQ)</f>
        <v/>
      </c>
      <c r="BQ8" s="698">
        <f>-SUMIF('TB Mnthly'!$A:$A,'PnL Mnthly'!$A8,'TB Mnthly'!BR:BR)</f>
        <v/>
      </c>
      <c r="BR8" s="698">
        <f>-SUMIF('TB Mnthly'!$A:$A,'PnL Mnthly'!$A8,'TB Mnthly'!BS:BS)</f>
        <v/>
      </c>
      <c r="BS8" s="699">
        <f>SUM(BF8:BR8)</f>
        <v/>
      </c>
    </row>
    <row r="9">
      <c r="A9" s="697" t="inlineStr">
        <is>
          <t>Weekly wifi topups</t>
        </is>
      </c>
      <c r="B9" s="698">
        <f>-SUMIF('TB Mnthly'!$A:$A,'PnL Mnthly'!$A9,'TB Mnthly'!C:C)</f>
        <v/>
      </c>
      <c r="C9" s="698">
        <f>-SUMIF('TB Mnthly'!$A:$A,'PnL Mnthly'!$A9,'TB Mnthly'!D:D)</f>
        <v/>
      </c>
      <c r="D9" s="698">
        <f>-SUMIF('TB Mnthly'!$A:$A,'PnL Mnthly'!$A9,'TB Mnthly'!E:E)</f>
        <v/>
      </c>
      <c r="E9" s="698">
        <f>-SUMIF('TB Mnthly'!$A:$A,'PnL Mnthly'!$A9,'TB Mnthly'!F:F)</f>
        <v/>
      </c>
      <c r="F9" s="698">
        <f>-SUMIF('TB Mnthly'!$A:$A,'PnL Mnthly'!$A9,'TB Mnthly'!G:G)</f>
        <v/>
      </c>
      <c r="G9" s="698">
        <f>-SUMIF('TB Mnthly'!$A:$A,'PnL Mnthly'!$A9,'TB Mnthly'!H:H)</f>
        <v/>
      </c>
      <c r="H9" s="698">
        <f>-SUMIF('TB Mnthly'!$A:$A,'PnL Mnthly'!$A9,'TB Mnthly'!I:I)</f>
        <v/>
      </c>
      <c r="I9" s="698">
        <f>-SUMIF('TB Mnthly'!$A:$A,'PnL Mnthly'!$A9,'TB Mnthly'!J:J)</f>
        <v/>
      </c>
      <c r="J9" s="698">
        <f>-SUMIF('TB Mnthly'!$A:$A,'PnL Mnthly'!$A9,'TB Mnthly'!K:K)</f>
        <v/>
      </c>
      <c r="K9" s="698">
        <f>-SUMIF('TB Mnthly'!$A:$A,'PnL Mnthly'!$A9,'TB Mnthly'!L:L)</f>
        <v/>
      </c>
      <c r="L9" s="698">
        <f>-SUMIF('TB Mnthly'!$A:$A,'PnL Mnthly'!$A9,'TB Mnthly'!M:M)</f>
        <v/>
      </c>
      <c r="M9" s="698">
        <f>-SUMIF('TB Mnthly'!$A:$A,'PnL Mnthly'!$A9,'TB Mnthly'!N:N)</f>
        <v/>
      </c>
      <c r="N9" s="698">
        <f>-SUMIF('TB Mnthly'!$A:$A,'PnL Mnthly'!$A9,'TB Mnthly'!O:O)</f>
        <v/>
      </c>
      <c r="O9" s="699">
        <f>SUM(B9:N9)</f>
        <v/>
      </c>
      <c r="P9" s="700" t="n"/>
      <c r="Q9" s="698">
        <f>-SUMIF('TB Mnthly'!$A:$A,'PnL Mnthly'!$A9,'TB Mnthly'!R:R)</f>
        <v/>
      </c>
      <c r="R9" s="698">
        <f>-SUMIF('TB Mnthly'!$A:$A,'PnL Mnthly'!$A9,'TB Mnthly'!S:S)</f>
        <v/>
      </c>
      <c r="S9" s="698">
        <f>-SUMIF('TB Mnthly'!$A:$A,'PnL Mnthly'!$A9,'TB Mnthly'!T:T)</f>
        <v/>
      </c>
      <c r="T9" s="698">
        <f>-SUMIF('TB Mnthly'!$A:$A,'PnL Mnthly'!$A9,'TB Mnthly'!U:U)</f>
        <v/>
      </c>
      <c r="U9" s="698">
        <f>-SUMIF('TB Mnthly'!$A:$A,'PnL Mnthly'!$A9,'TB Mnthly'!V:V)</f>
        <v/>
      </c>
      <c r="V9" s="698">
        <f>-SUMIF('TB Mnthly'!$A:$A,'PnL Mnthly'!$A9,'TB Mnthly'!W:W)</f>
        <v/>
      </c>
      <c r="W9" s="698">
        <f>-SUMIF('TB Mnthly'!$A:$A,'PnL Mnthly'!$A9,'TB Mnthly'!X:X)</f>
        <v/>
      </c>
      <c r="X9" s="698">
        <f>-SUMIF('TB Mnthly'!$A:$A,'PnL Mnthly'!$A9,'TB Mnthly'!Y:Y)</f>
        <v/>
      </c>
      <c r="Y9" s="698">
        <f>-SUMIF('TB Mnthly'!$A:$A,'PnL Mnthly'!$A9,'TB Mnthly'!Z:Z)</f>
        <v/>
      </c>
      <c r="Z9" s="698">
        <f>-SUMIF('TB Mnthly'!$A:$A,'PnL Mnthly'!$A9,'TB Mnthly'!AA:AA)</f>
        <v/>
      </c>
      <c r="AA9" s="698">
        <f>-SUMIF('TB Mnthly'!$A:$A,'PnL Mnthly'!$A9,'TB Mnthly'!AB:AB)</f>
        <v/>
      </c>
      <c r="AB9" s="698">
        <f>-SUMIF('TB Mnthly'!$A:$A,'PnL Mnthly'!$A9,'TB Mnthly'!AC:AC)</f>
        <v/>
      </c>
      <c r="AC9" s="699">
        <f>SUM(P9:AB9)</f>
        <v/>
      </c>
      <c r="AD9" s="701" t="n"/>
      <c r="AE9" s="698">
        <f>-SUMIF('TB Mnthly'!$A:$A,'PnL Mnthly'!$A9,'TB Mnthly'!AF:AF)</f>
        <v/>
      </c>
      <c r="AF9" s="698">
        <f>-SUMIF('TB Mnthly'!$A:$A,'PnL Mnthly'!$A9,'TB Mnthly'!AG:AG)</f>
        <v/>
      </c>
      <c r="AG9" s="698">
        <f>-SUMIF('TB Mnthly'!$A:$A,'PnL Mnthly'!$A9,'TB Mnthly'!AH:AH)</f>
        <v/>
      </c>
      <c r="AH9" s="698">
        <f>-SUMIF('TB Mnthly'!$A:$A,'PnL Mnthly'!$A9,'TB Mnthly'!AI:AI)</f>
        <v/>
      </c>
      <c r="AI9" s="698">
        <f>-SUMIF('TB Mnthly'!$A:$A,'PnL Mnthly'!$A9,'TB Mnthly'!AJ:AJ)</f>
        <v/>
      </c>
      <c r="AJ9" s="698">
        <f>-SUMIF('TB Mnthly'!$A:$A,'PnL Mnthly'!$A9,'TB Mnthly'!AK:AK)</f>
        <v/>
      </c>
      <c r="AK9" s="698">
        <f>-SUMIF('TB Mnthly'!$A:$A,'PnL Mnthly'!$A9,'TB Mnthly'!AL:AL)</f>
        <v/>
      </c>
      <c r="AL9" s="698">
        <f>-SUMIF('TB Mnthly'!$A:$A,'PnL Mnthly'!$A9,'TB Mnthly'!AM:AM)</f>
        <v/>
      </c>
      <c r="AM9" s="698">
        <f>-SUMIF('TB Mnthly'!$A:$A,'PnL Mnthly'!$A9,'TB Mnthly'!AN:AN)</f>
        <v/>
      </c>
      <c r="AN9" s="698">
        <f>-SUMIF('TB Mnthly'!$A:$A,'PnL Mnthly'!$A9,'TB Mnthly'!AO:AO)</f>
        <v/>
      </c>
      <c r="AO9" s="698">
        <f>-SUMIF('TB Mnthly'!$A:$A,'PnL Mnthly'!$A9,'TB Mnthly'!AP:AP)</f>
        <v/>
      </c>
      <c r="AP9" s="698">
        <f>-SUMIF('TB Mnthly'!$A:$A,'PnL Mnthly'!$A9,'TB Mnthly'!AQ:AQ)</f>
        <v/>
      </c>
      <c r="AQ9" s="699">
        <f>SUM(AD9:AP9)</f>
        <v/>
      </c>
      <c r="AR9" s="699" t="n"/>
      <c r="AS9" s="698">
        <f>-SUMIF('TB Mnthly'!$A:$A,'PnL Mnthly'!$A9,'TB Mnthly'!AT:AT)</f>
        <v/>
      </c>
      <c r="AT9" s="698">
        <f>-SUMIF('TB Mnthly'!$A:$A,'PnL Mnthly'!$A9,'TB Mnthly'!AU:AU)</f>
        <v/>
      </c>
      <c r="AU9" s="698">
        <f>-SUMIF('TB Mnthly'!$A:$A,'PnL Mnthly'!$A9,'TB Mnthly'!AV:AV)</f>
        <v/>
      </c>
      <c r="AV9" s="698">
        <f>-SUMIF('TB Mnthly'!$A:$A,'PnL Mnthly'!$A9,'TB Mnthly'!AW:AW)</f>
        <v/>
      </c>
      <c r="AW9" s="698">
        <f>-SUMIF('TB Mnthly'!$A:$A,'PnL Mnthly'!$A9,'TB Mnthly'!AX:AX)</f>
        <v/>
      </c>
      <c r="AX9" s="698">
        <f>-SUMIF('TB Mnthly'!$A:$A,'PnL Mnthly'!$A9,'TB Mnthly'!AY:AY)</f>
        <v/>
      </c>
      <c r="AY9" s="698">
        <f>-SUMIF('TB Mnthly'!$A:$A,'PnL Mnthly'!$A9,'TB Mnthly'!AZ:AZ)</f>
        <v/>
      </c>
      <c r="AZ9" s="698">
        <f>-SUMIF('TB Mnthly'!$A:$A,'PnL Mnthly'!$A9,'TB Mnthly'!BA:BA)</f>
        <v/>
      </c>
      <c r="BA9" s="698">
        <f>-SUMIF('TB Mnthly'!$A:$A,'PnL Mnthly'!$A9,'TB Mnthly'!BB:BB)</f>
        <v/>
      </c>
      <c r="BB9" s="698">
        <f>-SUMIF('TB Mnthly'!$A:$A,'PnL Mnthly'!$A9,'TB Mnthly'!BC:BC)</f>
        <v/>
      </c>
      <c r="BC9" s="698">
        <f>-SUMIF('TB Mnthly'!$A:$A,'PnL Mnthly'!$A9,'TB Mnthly'!BD:BD)</f>
        <v/>
      </c>
      <c r="BD9" s="698">
        <f>-SUMIF('TB Mnthly'!$A:$A,'PnL Mnthly'!$A9,'TB Mnthly'!BE:BE)</f>
        <v/>
      </c>
      <c r="BE9" s="699">
        <f>SUM(AR9:BD9)</f>
        <v/>
      </c>
      <c r="BF9" s="699" t="n"/>
      <c r="BG9" s="698">
        <f>-SUMIF('TB Mnthly'!$A:$A,'PnL Mnthly'!$A9,'TB Mnthly'!BH:BH)</f>
        <v/>
      </c>
      <c r="BH9" s="698">
        <f>-SUMIF('TB Mnthly'!$A:$A,'PnL Mnthly'!$A9,'TB Mnthly'!BI:BI)</f>
        <v/>
      </c>
      <c r="BI9" s="698">
        <f>-SUMIF('TB Mnthly'!$A:$A,'PnL Mnthly'!$A9,'TB Mnthly'!BJ:BJ)</f>
        <v/>
      </c>
      <c r="BJ9" s="698">
        <f>-SUMIF('TB Mnthly'!$A:$A,'PnL Mnthly'!$A9,'TB Mnthly'!BK:BK)</f>
        <v/>
      </c>
      <c r="BK9" s="698">
        <f>-SUMIF('TB Mnthly'!$A:$A,'PnL Mnthly'!$A9,'TB Mnthly'!BL:BL)</f>
        <v/>
      </c>
      <c r="BL9" s="698">
        <f>-SUMIF('TB Mnthly'!$A:$A,'PnL Mnthly'!$A9,'TB Mnthly'!BM:BM)</f>
        <v/>
      </c>
      <c r="BM9" s="698">
        <f>-SUMIF('TB Mnthly'!$A:$A,'PnL Mnthly'!$A9,'TB Mnthly'!BN:BN)</f>
        <v/>
      </c>
      <c r="BN9" s="698">
        <f>-SUMIF('TB Mnthly'!$A:$A,'PnL Mnthly'!$A9,'TB Mnthly'!BO:BO)</f>
        <v/>
      </c>
      <c r="BO9" s="698">
        <f>-SUMIF('TB Mnthly'!$A:$A,'PnL Mnthly'!$A9,'TB Mnthly'!BP:BP)</f>
        <v/>
      </c>
      <c r="BP9" s="698">
        <f>-SUMIF('TB Mnthly'!$A:$A,'PnL Mnthly'!$A9,'TB Mnthly'!BQ:BQ)</f>
        <v/>
      </c>
      <c r="BQ9" s="698">
        <f>-SUMIF('TB Mnthly'!$A:$A,'PnL Mnthly'!$A9,'TB Mnthly'!BR:BR)</f>
        <v/>
      </c>
      <c r="BR9" s="698">
        <f>-SUMIF('TB Mnthly'!$A:$A,'PnL Mnthly'!$A9,'TB Mnthly'!BS:BS)</f>
        <v/>
      </c>
      <c r="BS9" s="699">
        <f>SUM(BF9:BR9)</f>
        <v/>
      </c>
    </row>
    <row r="10">
      <c r="A10" s="697" t="inlineStr">
        <is>
          <t>Monthly wifi topups</t>
        </is>
      </c>
      <c r="B10" s="698">
        <f>-SUMIF('TB Mnthly'!$A:$A,'PnL Mnthly'!$A10,'TB Mnthly'!C:C)</f>
        <v/>
      </c>
      <c r="C10" s="698">
        <f>-SUMIF('TB Mnthly'!$A:$A,'PnL Mnthly'!$A10,'TB Mnthly'!D:D)</f>
        <v/>
      </c>
      <c r="D10" s="698">
        <f>-SUMIF('TB Mnthly'!$A:$A,'PnL Mnthly'!$A10,'TB Mnthly'!E:E)</f>
        <v/>
      </c>
      <c r="E10" s="698">
        <f>-SUMIF('TB Mnthly'!$A:$A,'PnL Mnthly'!$A10,'TB Mnthly'!F:F)</f>
        <v/>
      </c>
      <c r="F10" s="698">
        <f>-SUMIF('TB Mnthly'!$A:$A,'PnL Mnthly'!$A10,'TB Mnthly'!G:G)</f>
        <v/>
      </c>
      <c r="G10" s="698">
        <f>-SUMIF('TB Mnthly'!$A:$A,'PnL Mnthly'!$A10,'TB Mnthly'!H:H)</f>
        <v/>
      </c>
      <c r="H10" s="698">
        <f>-SUMIF('TB Mnthly'!$A:$A,'PnL Mnthly'!$A10,'TB Mnthly'!I:I)</f>
        <v/>
      </c>
      <c r="I10" s="698">
        <f>-SUMIF('TB Mnthly'!$A:$A,'PnL Mnthly'!$A10,'TB Mnthly'!J:J)</f>
        <v/>
      </c>
      <c r="J10" s="698">
        <f>-SUMIF('TB Mnthly'!$A:$A,'PnL Mnthly'!$A10,'TB Mnthly'!K:K)</f>
        <v/>
      </c>
      <c r="K10" s="698">
        <f>-SUMIF('TB Mnthly'!$A:$A,'PnL Mnthly'!$A10,'TB Mnthly'!L:L)</f>
        <v/>
      </c>
      <c r="L10" s="698">
        <f>-SUMIF('TB Mnthly'!$A:$A,'PnL Mnthly'!$A10,'TB Mnthly'!M:M)</f>
        <v/>
      </c>
      <c r="M10" s="698">
        <f>-SUMIF('TB Mnthly'!$A:$A,'PnL Mnthly'!$A10,'TB Mnthly'!N:N)</f>
        <v/>
      </c>
      <c r="N10" s="698">
        <f>-SUMIF('TB Mnthly'!$A:$A,'PnL Mnthly'!$A10,'TB Mnthly'!O:O)</f>
        <v/>
      </c>
      <c r="O10" s="699">
        <f>SUM(B10:N10)</f>
        <v/>
      </c>
      <c r="P10" s="700" t="n"/>
      <c r="Q10" s="698">
        <f>-SUMIF('TB Mnthly'!$A:$A,'PnL Mnthly'!$A10,'TB Mnthly'!R:R)</f>
        <v/>
      </c>
      <c r="R10" s="698">
        <f>-SUMIF('TB Mnthly'!$A:$A,'PnL Mnthly'!$A10,'TB Mnthly'!S:S)</f>
        <v/>
      </c>
      <c r="S10" s="698">
        <f>-SUMIF('TB Mnthly'!$A:$A,'PnL Mnthly'!$A10,'TB Mnthly'!T:T)</f>
        <v/>
      </c>
      <c r="T10" s="698">
        <f>-SUMIF('TB Mnthly'!$A:$A,'PnL Mnthly'!$A10,'TB Mnthly'!U:U)</f>
        <v/>
      </c>
      <c r="U10" s="698">
        <f>-SUMIF('TB Mnthly'!$A:$A,'PnL Mnthly'!$A10,'TB Mnthly'!V:V)</f>
        <v/>
      </c>
      <c r="V10" s="698">
        <f>-SUMIF('TB Mnthly'!$A:$A,'PnL Mnthly'!$A10,'TB Mnthly'!W:W)</f>
        <v/>
      </c>
      <c r="W10" s="698">
        <f>-SUMIF('TB Mnthly'!$A:$A,'PnL Mnthly'!$A10,'TB Mnthly'!X:X)</f>
        <v/>
      </c>
      <c r="X10" s="698">
        <f>-SUMIF('TB Mnthly'!$A:$A,'PnL Mnthly'!$A10,'TB Mnthly'!Y:Y)</f>
        <v/>
      </c>
      <c r="Y10" s="698">
        <f>-SUMIF('TB Mnthly'!$A:$A,'PnL Mnthly'!$A10,'TB Mnthly'!Z:Z)</f>
        <v/>
      </c>
      <c r="Z10" s="698">
        <f>-SUMIF('TB Mnthly'!$A:$A,'PnL Mnthly'!$A10,'TB Mnthly'!AA:AA)</f>
        <v/>
      </c>
      <c r="AA10" s="698">
        <f>-SUMIF('TB Mnthly'!$A:$A,'PnL Mnthly'!$A10,'TB Mnthly'!AB:AB)</f>
        <v/>
      </c>
      <c r="AB10" s="698">
        <f>-SUMIF('TB Mnthly'!$A:$A,'PnL Mnthly'!$A10,'TB Mnthly'!AC:AC)</f>
        <v/>
      </c>
      <c r="AC10" s="699">
        <f>SUM(P10:AB10)</f>
        <v/>
      </c>
      <c r="AD10" s="701" t="n"/>
      <c r="AE10" s="698">
        <f>-SUMIF('TB Mnthly'!$A:$A,'PnL Mnthly'!$A10,'TB Mnthly'!AF:AF)</f>
        <v/>
      </c>
      <c r="AF10" s="698">
        <f>-SUMIF('TB Mnthly'!$A:$A,'PnL Mnthly'!$A10,'TB Mnthly'!AG:AG)</f>
        <v/>
      </c>
      <c r="AG10" s="698">
        <f>-SUMIF('TB Mnthly'!$A:$A,'PnL Mnthly'!$A10,'TB Mnthly'!AH:AH)</f>
        <v/>
      </c>
      <c r="AH10" s="698">
        <f>-SUMIF('TB Mnthly'!$A:$A,'PnL Mnthly'!$A10,'TB Mnthly'!AI:AI)</f>
        <v/>
      </c>
      <c r="AI10" s="698">
        <f>-SUMIF('TB Mnthly'!$A:$A,'PnL Mnthly'!$A10,'TB Mnthly'!AJ:AJ)</f>
        <v/>
      </c>
      <c r="AJ10" s="698">
        <f>-SUMIF('TB Mnthly'!$A:$A,'PnL Mnthly'!$A10,'TB Mnthly'!AK:AK)</f>
        <v/>
      </c>
      <c r="AK10" s="698">
        <f>-SUMIF('TB Mnthly'!$A:$A,'PnL Mnthly'!$A10,'TB Mnthly'!AL:AL)</f>
        <v/>
      </c>
      <c r="AL10" s="698">
        <f>-SUMIF('TB Mnthly'!$A:$A,'PnL Mnthly'!$A10,'TB Mnthly'!AM:AM)</f>
        <v/>
      </c>
      <c r="AM10" s="698">
        <f>-SUMIF('TB Mnthly'!$A:$A,'PnL Mnthly'!$A10,'TB Mnthly'!AN:AN)</f>
        <v/>
      </c>
      <c r="AN10" s="698">
        <f>-SUMIF('TB Mnthly'!$A:$A,'PnL Mnthly'!$A10,'TB Mnthly'!AO:AO)</f>
        <v/>
      </c>
      <c r="AO10" s="698">
        <f>-SUMIF('TB Mnthly'!$A:$A,'PnL Mnthly'!$A10,'TB Mnthly'!AP:AP)</f>
        <v/>
      </c>
      <c r="AP10" s="698">
        <f>-SUMIF('TB Mnthly'!$A:$A,'PnL Mnthly'!$A10,'TB Mnthly'!AQ:AQ)</f>
        <v/>
      </c>
      <c r="AQ10" s="699">
        <f>SUM(AD10:AP10)</f>
        <v/>
      </c>
      <c r="AR10" s="699" t="n"/>
      <c r="AS10" s="698">
        <f>-SUMIF('TB Mnthly'!$A:$A,'PnL Mnthly'!$A10,'TB Mnthly'!AT:AT)</f>
        <v/>
      </c>
      <c r="AT10" s="698">
        <f>-SUMIF('TB Mnthly'!$A:$A,'PnL Mnthly'!$A10,'TB Mnthly'!AU:AU)</f>
        <v/>
      </c>
      <c r="AU10" s="698">
        <f>-SUMIF('TB Mnthly'!$A:$A,'PnL Mnthly'!$A10,'TB Mnthly'!AV:AV)</f>
        <v/>
      </c>
      <c r="AV10" s="698">
        <f>-SUMIF('TB Mnthly'!$A:$A,'PnL Mnthly'!$A10,'TB Mnthly'!AW:AW)</f>
        <v/>
      </c>
      <c r="AW10" s="698">
        <f>-SUMIF('TB Mnthly'!$A:$A,'PnL Mnthly'!$A10,'TB Mnthly'!AX:AX)</f>
        <v/>
      </c>
      <c r="AX10" s="698">
        <f>-SUMIF('TB Mnthly'!$A:$A,'PnL Mnthly'!$A10,'TB Mnthly'!AY:AY)</f>
        <v/>
      </c>
      <c r="AY10" s="698">
        <f>-SUMIF('TB Mnthly'!$A:$A,'PnL Mnthly'!$A10,'TB Mnthly'!AZ:AZ)</f>
        <v/>
      </c>
      <c r="AZ10" s="698">
        <f>-SUMIF('TB Mnthly'!$A:$A,'PnL Mnthly'!$A10,'TB Mnthly'!BA:BA)</f>
        <v/>
      </c>
      <c r="BA10" s="698">
        <f>-SUMIF('TB Mnthly'!$A:$A,'PnL Mnthly'!$A10,'TB Mnthly'!BB:BB)</f>
        <v/>
      </c>
      <c r="BB10" s="698">
        <f>-SUMIF('TB Mnthly'!$A:$A,'PnL Mnthly'!$A10,'TB Mnthly'!BC:BC)</f>
        <v/>
      </c>
      <c r="BC10" s="698">
        <f>-SUMIF('TB Mnthly'!$A:$A,'PnL Mnthly'!$A10,'TB Mnthly'!BD:BD)</f>
        <v/>
      </c>
      <c r="BD10" s="698">
        <f>-SUMIF('TB Mnthly'!$A:$A,'PnL Mnthly'!$A10,'TB Mnthly'!BE:BE)</f>
        <v/>
      </c>
      <c r="BE10" s="699">
        <f>SUM(AR10:BD10)</f>
        <v/>
      </c>
      <c r="BF10" s="699" t="n"/>
      <c r="BG10" s="698">
        <f>-SUMIF('TB Mnthly'!$A:$A,'PnL Mnthly'!$A10,'TB Mnthly'!BH:BH)</f>
        <v/>
      </c>
      <c r="BH10" s="698">
        <f>-SUMIF('TB Mnthly'!$A:$A,'PnL Mnthly'!$A10,'TB Mnthly'!BI:BI)</f>
        <v/>
      </c>
      <c r="BI10" s="698">
        <f>-SUMIF('TB Mnthly'!$A:$A,'PnL Mnthly'!$A10,'TB Mnthly'!BJ:BJ)</f>
        <v/>
      </c>
      <c r="BJ10" s="698">
        <f>-SUMIF('TB Mnthly'!$A:$A,'PnL Mnthly'!$A10,'TB Mnthly'!BK:BK)</f>
        <v/>
      </c>
      <c r="BK10" s="698">
        <f>-SUMIF('TB Mnthly'!$A:$A,'PnL Mnthly'!$A10,'TB Mnthly'!BL:BL)</f>
        <v/>
      </c>
      <c r="BL10" s="698">
        <f>-SUMIF('TB Mnthly'!$A:$A,'PnL Mnthly'!$A10,'TB Mnthly'!BM:BM)</f>
        <v/>
      </c>
      <c r="BM10" s="698">
        <f>-SUMIF('TB Mnthly'!$A:$A,'PnL Mnthly'!$A10,'TB Mnthly'!BN:BN)</f>
        <v/>
      </c>
      <c r="BN10" s="698">
        <f>-SUMIF('TB Mnthly'!$A:$A,'PnL Mnthly'!$A10,'TB Mnthly'!BO:BO)</f>
        <v/>
      </c>
      <c r="BO10" s="698">
        <f>-SUMIF('TB Mnthly'!$A:$A,'PnL Mnthly'!$A10,'TB Mnthly'!BP:BP)</f>
        <v/>
      </c>
      <c r="BP10" s="698">
        <f>-SUMIF('TB Mnthly'!$A:$A,'PnL Mnthly'!$A10,'TB Mnthly'!BQ:BQ)</f>
        <v/>
      </c>
      <c r="BQ10" s="698">
        <f>-SUMIF('TB Mnthly'!$A:$A,'PnL Mnthly'!$A10,'TB Mnthly'!BR:BR)</f>
        <v/>
      </c>
      <c r="BR10" s="698">
        <f>-SUMIF('TB Mnthly'!$A:$A,'PnL Mnthly'!$A10,'TB Mnthly'!BS:BS)</f>
        <v/>
      </c>
      <c r="BS10" s="699">
        <f>SUM(BF10:BR10)</f>
        <v/>
      </c>
    </row>
    <row r="11">
      <c r="A11" s="697" t="inlineStr">
        <is>
          <t>Enterprise 1 (Up to 10 Employees)</t>
        </is>
      </c>
      <c r="B11" s="698">
        <f>-SUMIF('TB Mnthly'!$A:$A,'PnL Mnthly'!$A11,'TB Mnthly'!C:C)</f>
        <v/>
      </c>
      <c r="C11" s="698">
        <f>-SUMIF('TB Mnthly'!$A:$A,'PnL Mnthly'!$A11,'TB Mnthly'!D:D)</f>
        <v/>
      </c>
      <c r="D11" s="698">
        <f>-SUMIF('TB Mnthly'!$A:$A,'PnL Mnthly'!$A11,'TB Mnthly'!E:E)</f>
        <v/>
      </c>
      <c r="E11" s="698">
        <f>-SUMIF('TB Mnthly'!$A:$A,'PnL Mnthly'!$A11,'TB Mnthly'!F:F)</f>
        <v/>
      </c>
      <c r="F11" s="698">
        <f>-SUMIF('TB Mnthly'!$A:$A,'PnL Mnthly'!$A11,'TB Mnthly'!G:G)</f>
        <v/>
      </c>
      <c r="G11" s="698">
        <f>-SUMIF('TB Mnthly'!$A:$A,'PnL Mnthly'!$A11,'TB Mnthly'!H:H)</f>
        <v/>
      </c>
      <c r="H11" s="698">
        <f>-SUMIF('TB Mnthly'!$A:$A,'PnL Mnthly'!$A11,'TB Mnthly'!I:I)</f>
        <v/>
      </c>
      <c r="I11" s="698">
        <f>-SUMIF('TB Mnthly'!$A:$A,'PnL Mnthly'!$A11,'TB Mnthly'!J:J)</f>
        <v/>
      </c>
      <c r="J11" s="698">
        <f>-SUMIF('TB Mnthly'!$A:$A,'PnL Mnthly'!$A11,'TB Mnthly'!K:K)</f>
        <v/>
      </c>
      <c r="K11" s="698">
        <f>-SUMIF('TB Mnthly'!$A:$A,'PnL Mnthly'!$A11,'TB Mnthly'!L:L)</f>
        <v/>
      </c>
      <c r="L11" s="698">
        <f>-SUMIF('TB Mnthly'!$A:$A,'PnL Mnthly'!$A11,'TB Mnthly'!M:M)</f>
        <v/>
      </c>
      <c r="M11" s="698">
        <f>-SUMIF('TB Mnthly'!$A:$A,'PnL Mnthly'!$A11,'TB Mnthly'!N:N)</f>
        <v/>
      </c>
      <c r="N11" s="698">
        <f>-SUMIF('TB Mnthly'!$A:$A,'PnL Mnthly'!$A11,'TB Mnthly'!O:O)</f>
        <v/>
      </c>
      <c r="O11" s="699">
        <f>SUM(B11:N11)</f>
        <v/>
      </c>
      <c r="P11" s="700" t="n"/>
      <c r="Q11" s="698">
        <f>-SUMIF('TB Mnthly'!$A:$A,'PnL Mnthly'!$A11,'TB Mnthly'!R:R)</f>
        <v/>
      </c>
      <c r="R11" s="698">
        <f>-SUMIF('TB Mnthly'!$A:$A,'PnL Mnthly'!$A11,'TB Mnthly'!S:S)</f>
        <v/>
      </c>
      <c r="S11" s="698">
        <f>-SUMIF('TB Mnthly'!$A:$A,'PnL Mnthly'!$A11,'TB Mnthly'!T:T)</f>
        <v/>
      </c>
      <c r="T11" s="698">
        <f>-SUMIF('TB Mnthly'!$A:$A,'PnL Mnthly'!$A11,'TB Mnthly'!U:U)</f>
        <v/>
      </c>
      <c r="U11" s="698">
        <f>-SUMIF('TB Mnthly'!$A:$A,'PnL Mnthly'!$A11,'TB Mnthly'!V:V)</f>
        <v/>
      </c>
      <c r="V11" s="698">
        <f>-SUMIF('TB Mnthly'!$A:$A,'PnL Mnthly'!$A11,'TB Mnthly'!W:W)</f>
        <v/>
      </c>
      <c r="W11" s="698">
        <f>-SUMIF('TB Mnthly'!$A:$A,'PnL Mnthly'!$A11,'TB Mnthly'!X:X)</f>
        <v/>
      </c>
      <c r="X11" s="698">
        <f>-SUMIF('TB Mnthly'!$A:$A,'PnL Mnthly'!$A11,'TB Mnthly'!Y:Y)</f>
        <v/>
      </c>
      <c r="Y11" s="698">
        <f>-SUMIF('TB Mnthly'!$A:$A,'PnL Mnthly'!$A11,'TB Mnthly'!Z:Z)</f>
        <v/>
      </c>
      <c r="Z11" s="698">
        <f>-SUMIF('TB Mnthly'!$A:$A,'PnL Mnthly'!$A11,'TB Mnthly'!AA:AA)</f>
        <v/>
      </c>
      <c r="AA11" s="698">
        <f>-SUMIF('TB Mnthly'!$A:$A,'PnL Mnthly'!$A11,'TB Mnthly'!AB:AB)</f>
        <v/>
      </c>
      <c r="AB11" s="698">
        <f>-SUMIF('TB Mnthly'!$A:$A,'PnL Mnthly'!$A11,'TB Mnthly'!AC:AC)</f>
        <v/>
      </c>
      <c r="AC11" s="699">
        <f>SUM(P11:AB11)</f>
        <v/>
      </c>
      <c r="AD11" s="701" t="n"/>
      <c r="AE11" s="698">
        <f>-SUMIF('TB Mnthly'!$A:$A,'PnL Mnthly'!$A11,'TB Mnthly'!AF:AF)</f>
        <v/>
      </c>
      <c r="AF11" s="698">
        <f>-SUMIF('TB Mnthly'!$A:$A,'PnL Mnthly'!$A11,'TB Mnthly'!AG:AG)</f>
        <v/>
      </c>
      <c r="AG11" s="698">
        <f>-SUMIF('TB Mnthly'!$A:$A,'PnL Mnthly'!$A11,'TB Mnthly'!AH:AH)</f>
        <v/>
      </c>
      <c r="AH11" s="698">
        <f>-SUMIF('TB Mnthly'!$A:$A,'PnL Mnthly'!$A11,'TB Mnthly'!AI:AI)</f>
        <v/>
      </c>
      <c r="AI11" s="698">
        <f>-SUMIF('TB Mnthly'!$A:$A,'PnL Mnthly'!$A11,'TB Mnthly'!AJ:AJ)</f>
        <v/>
      </c>
      <c r="AJ11" s="698">
        <f>-SUMIF('TB Mnthly'!$A:$A,'PnL Mnthly'!$A11,'TB Mnthly'!AK:AK)</f>
        <v/>
      </c>
      <c r="AK11" s="698">
        <f>-SUMIF('TB Mnthly'!$A:$A,'PnL Mnthly'!$A11,'TB Mnthly'!AL:AL)</f>
        <v/>
      </c>
      <c r="AL11" s="698">
        <f>-SUMIF('TB Mnthly'!$A:$A,'PnL Mnthly'!$A11,'TB Mnthly'!AM:AM)</f>
        <v/>
      </c>
      <c r="AM11" s="698">
        <f>-SUMIF('TB Mnthly'!$A:$A,'PnL Mnthly'!$A11,'TB Mnthly'!AN:AN)</f>
        <v/>
      </c>
      <c r="AN11" s="698">
        <f>-SUMIF('TB Mnthly'!$A:$A,'PnL Mnthly'!$A11,'TB Mnthly'!AO:AO)</f>
        <v/>
      </c>
      <c r="AO11" s="698">
        <f>-SUMIF('TB Mnthly'!$A:$A,'PnL Mnthly'!$A11,'TB Mnthly'!AP:AP)</f>
        <v/>
      </c>
      <c r="AP11" s="698">
        <f>-SUMIF('TB Mnthly'!$A:$A,'PnL Mnthly'!$A11,'TB Mnthly'!AQ:AQ)</f>
        <v/>
      </c>
      <c r="AQ11" s="699">
        <f>SUM(AD11:AP11)</f>
        <v/>
      </c>
      <c r="AR11" s="699" t="n"/>
      <c r="AS11" s="698">
        <f>-SUMIF('TB Mnthly'!$A:$A,'PnL Mnthly'!$A11,'TB Mnthly'!AT:AT)</f>
        <v/>
      </c>
      <c r="AT11" s="698">
        <f>-SUMIF('TB Mnthly'!$A:$A,'PnL Mnthly'!$A11,'TB Mnthly'!AU:AU)</f>
        <v/>
      </c>
      <c r="AU11" s="698">
        <f>-SUMIF('TB Mnthly'!$A:$A,'PnL Mnthly'!$A11,'TB Mnthly'!AV:AV)</f>
        <v/>
      </c>
      <c r="AV11" s="698">
        <f>-SUMIF('TB Mnthly'!$A:$A,'PnL Mnthly'!$A11,'TB Mnthly'!AW:AW)</f>
        <v/>
      </c>
      <c r="AW11" s="698">
        <f>-SUMIF('TB Mnthly'!$A:$A,'PnL Mnthly'!$A11,'TB Mnthly'!AX:AX)</f>
        <v/>
      </c>
      <c r="AX11" s="698">
        <f>-SUMIF('TB Mnthly'!$A:$A,'PnL Mnthly'!$A11,'TB Mnthly'!AY:AY)</f>
        <v/>
      </c>
      <c r="AY11" s="698">
        <f>-SUMIF('TB Mnthly'!$A:$A,'PnL Mnthly'!$A11,'TB Mnthly'!AZ:AZ)</f>
        <v/>
      </c>
      <c r="AZ11" s="698">
        <f>-SUMIF('TB Mnthly'!$A:$A,'PnL Mnthly'!$A11,'TB Mnthly'!BA:BA)</f>
        <v/>
      </c>
      <c r="BA11" s="698">
        <f>-SUMIF('TB Mnthly'!$A:$A,'PnL Mnthly'!$A11,'TB Mnthly'!BB:BB)</f>
        <v/>
      </c>
      <c r="BB11" s="698">
        <f>-SUMIF('TB Mnthly'!$A:$A,'PnL Mnthly'!$A11,'TB Mnthly'!BC:BC)</f>
        <v/>
      </c>
      <c r="BC11" s="698">
        <f>-SUMIF('TB Mnthly'!$A:$A,'PnL Mnthly'!$A11,'TB Mnthly'!BD:BD)</f>
        <v/>
      </c>
      <c r="BD11" s="698">
        <f>-SUMIF('TB Mnthly'!$A:$A,'PnL Mnthly'!$A11,'TB Mnthly'!BE:BE)</f>
        <v/>
      </c>
      <c r="BE11" s="699">
        <f>SUM(AR11:BD11)</f>
        <v/>
      </c>
      <c r="BF11" s="699" t="n"/>
      <c r="BG11" s="698">
        <f>-SUMIF('TB Mnthly'!$A:$A,'PnL Mnthly'!$A11,'TB Mnthly'!BH:BH)</f>
        <v/>
      </c>
      <c r="BH11" s="698">
        <f>-SUMIF('TB Mnthly'!$A:$A,'PnL Mnthly'!$A11,'TB Mnthly'!BI:BI)</f>
        <v/>
      </c>
      <c r="BI11" s="698">
        <f>-SUMIF('TB Mnthly'!$A:$A,'PnL Mnthly'!$A11,'TB Mnthly'!BJ:BJ)</f>
        <v/>
      </c>
      <c r="BJ11" s="698">
        <f>-SUMIF('TB Mnthly'!$A:$A,'PnL Mnthly'!$A11,'TB Mnthly'!BK:BK)</f>
        <v/>
      </c>
      <c r="BK11" s="698">
        <f>-SUMIF('TB Mnthly'!$A:$A,'PnL Mnthly'!$A11,'TB Mnthly'!BL:BL)</f>
        <v/>
      </c>
      <c r="BL11" s="698">
        <f>-SUMIF('TB Mnthly'!$A:$A,'PnL Mnthly'!$A11,'TB Mnthly'!BM:BM)</f>
        <v/>
      </c>
      <c r="BM11" s="698">
        <f>-SUMIF('TB Mnthly'!$A:$A,'PnL Mnthly'!$A11,'TB Mnthly'!BN:BN)</f>
        <v/>
      </c>
      <c r="BN11" s="698">
        <f>-SUMIF('TB Mnthly'!$A:$A,'PnL Mnthly'!$A11,'TB Mnthly'!BO:BO)</f>
        <v/>
      </c>
      <c r="BO11" s="698">
        <f>-SUMIF('TB Mnthly'!$A:$A,'PnL Mnthly'!$A11,'TB Mnthly'!BP:BP)</f>
        <v/>
      </c>
      <c r="BP11" s="698">
        <f>-SUMIF('TB Mnthly'!$A:$A,'PnL Mnthly'!$A11,'TB Mnthly'!BQ:BQ)</f>
        <v/>
      </c>
      <c r="BQ11" s="698">
        <f>-SUMIF('TB Mnthly'!$A:$A,'PnL Mnthly'!$A11,'TB Mnthly'!BR:BR)</f>
        <v/>
      </c>
      <c r="BR11" s="698">
        <f>-SUMIF('TB Mnthly'!$A:$A,'PnL Mnthly'!$A11,'TB Mnthly'!BS:BS)</f>
        <v/>
      </c>
      <c r="BS11" s="699">
        <f>SUM(BF11:BR11)</f>
        <v/>
      </c>
    </row>
    <row r="12">
      <c r="A12" s="697" t="inlineStr">
        <is>
          <t>Enterprise 2 (Up to 25 Employees)</t>
        </is>
      </c>
      <c r="B12" s="698">
        <f>-SUMIF('TB Mnthly'!$A:$A,'PnL Mnthly'!$A12,'TB Mnthly'!C:C)</f>
        <v/>
      </c>
      <c r="C12" s="698">
        <f>-SUMIF('TB Mnthly'!$A:$A,'PnL Mnthly'!$A12,'TB Mnthly'!D:D)</f>
        <v/>
      </c>
      <c r="D12" s="698">
        <f>-SUMIF('TB Mnthly'!$A:$A,'PnL Mnthly'!$A12,'TB Mnthly'!E:E)</f>
        <v/>
      </c>
      <c r="E12" s="698">
        <f>-SUMIF('TB Mnthly'!$A:$A,'PnL Mnthly'!$A12,'TB Mnthly'!F:F)</f>
        <v/>
      </c>
      <c r="F12" s="698">
        <f>-SUMIF('TB Mnthly'!$A:$A,'PnL Mnthly'!$A12,'TB Mnthly'!G:G)</f>
        <v/>
      </c>
      <c r="G12" s="698">
        <f>-SUMIF('TB Mnthly'!$A:$A,'PnL Mnthly'!$A12,'TB Mnthly'!H:H)</f>
        <v/>
      </c>
      <c r="H12" s="698">
        <f>-SUMIF('TB Mnthly'!$A:$A,'PnL Mnthly'!$A12,'TB Mnthly'!I:I)</f>
        <v/>
      </c>
      <c r="I12" s="698">
        <f>-SUMIF('TB Mnthly'!$A:$A,'PnL Mnthly'!$A12,'TB Mnthly'!J:J)</f>
        <v/>
      </c>
      <c r="J12" s="698">
        <f>-SUMIF('TB Mnthly'!$A:$A,'PnL Mnthly'!$A12,'TB Mnthly'!K:K)</f>
        <v/>
      </c>
      <c r="K12" s="698">
        <f>-SUMIF('TB Mnthly'!$A:$A,'PnL Mnthly'!$A12,'TB Mnthly'!L:L)</f>
        <v/>
      </c>
      <c r="L12" s="698">
        <f>-SUMIF('TB Mnthly'!$A:$A,'PnL Mnthly'!$A12,'TB Mnthly'!M:M)</f>
        <v/>
      </c>
      <c r="M12" s="698">
        <f>-SUMIF('TB Mnthly'!$A:$A,'PnL Mnthly'!$A12,'TB Mnthly'!N:N)</f>
        <v/>
      </c>
      <c r="N12" s="698">
        <f>-SUMIF('TB Mnthly'!$A:$A,'PnL Mnthly'!$A12,'TB Mnthly'!O:O)</f>
        <v/>
      </c>
      <c r="O12" s="699">
        <f>SUM(B12:N12)</f>
        <v/>
      </c>
      <c r="P12" s="700" t="n"/>
      <c r="Q12" s="698">
        <f>-SUMIF('TB Mnthly'!$A:$A,'PnL Mnthly'!$A12,'TB Mnthly'!R:R)</f>
        <v/>
      </c>
      <c r="R12" s="698">
        <f>-SUMIF('TB Mnthly'!$A:$A,'PnL Mnthly'!$A12,'TB Mnthly'!S:S)</f>
        <v/>
      </c>
      <c r="S12" s="698">
        <f>-SUMIF('TB Mnthly'!$A:$A,'PnL Mnthly'!$A12,'TB Mnthly'!T:T)</f>
        <v/>
      </c>
      <c r="T12" s="698">
        <f>-SUMIF('TB Mnthly'!$A:$A,'PnL Mnthly'!$A12,'TB Mnthly'!U:U)</f>
        <v/>
      </c>
      <c r="U12" s="698">
        <f>-SUMIF('TB Mnthly'!$A:$A,'PnL Mnthly'!$A12,'TB Mnthly'!V:V)</f>
        <v/>
      </c>
      <c r="V12" s="698">
        <f>-SUMIF('TB Mnthly'!$A:$A,'PnL Mnthly'!$A12,'TB Mnthly'!W:W)</f>
        <v/>
      </c>
      <c r="W12" s="698">
        <f>-SUMIF('TB Mnthly'!$A:$A,'PnL Mnthly'!$A12,'TB Mnthly'!X:X)</f>
        <v/>
      </c>
      <c r="X12" s="698">
        <f>-SUMIF('TB Mnthly'!$A:$A,'PnL Mnthly'!$A12,'TB Mnthly'!Y:Y)</f>
        <v/>
      </c>
      <c r="Y12" s="698">
        <f>-SUMIF('TB Mnthly'!$A:$A,'PnL Mnthly'!$A12,'TB Mnthly'!Z:Z)</f>
        <v/>
      </c>
      <c r="Z12" s="698">
        <f>-SUMIF('TB Mnthly'!$A:$A,'PnL Mnthly'!$A12,'TB Mnthly'!AA:AA)</f>
        <v/>
      </c>
      <c r="AA12" s="698">
        <f>-SUMIF('TB Mnthly'!$A:$A,'PnL Mnthly'!$A12,'TB Mnthly'!AB:AB)</f>
        <v/>
      </c>
      <c r="AB12" s="698">
        <f>-SUMIF('TB Mnthly'!$A:$A,'PnL Mnthly'!$A12,'TB Mnthly'!AC:AC)</f>
        <v/>
      </c>
      <c r="AC12" s="699">
        <f>SUM(P12:AB12)</f>
        <v/>
      </c>
      <c r="AD12" s="701" t="n"/>
      <c r="AE12" s="698">
        <f>-SUMIF('TB Mnthly'!$A:$A,'PnL Mnthly'!$A12,'TB Mnthly'!AF:AF)</f>
        <v/>
      </c>
      <c r="AF12" s="698">
        <f>-SUMIF('TB Mnthly'!$A:$A,'PnL Mnthly'!$A12,'TB Mnthly'!AG:AG)</f>
        <v/>
      </c>
      <c r="AG12" s="698">
        <f>-SUMIF('TB Mnthly'!$A:$A,'PnL Mnthly'!$A12,'TB Mnthly'!AH:AH)</f>
        <v/>
      </c>
      <c r="AH12" s="698">
        <f>-SUMIF('TB Mnthly'!$A:$A,'PnL Mnthly'!$A12,'TB Mnthly'!AI:AI)</f>
        <v/>
      </c>
      <c r="AI12" s="698">
        <f>-SUMIF('TB Mnthly'!$A:$A,'PnL Mnthly'!$A12,'TB Mnthly'!AJ:AJ)</f>
        <v/>
      </c>
      <c r="AJ12" s="698">
        <f>-SUMIF('TB Mnthly'!$A:$A,'PnL Mnthly'!$A12,'TB Mnthly'!AK:AK)</f>
        <v/>
      </c>
      <c r="AK12" s="698">
        <f>-SUMIF('TB Mnthly'!$A:$A,'PnL Mnthly'!$A12,'TB Mnthly'!AL:AL)</f>
        <v/>
      </c>
      <c r="AL12" s="698">
        <f>-SUMIF('TB Mnthly'!$A:$A,'PnL Mnthly'!$A12,'TB Mnthly'!AM:AM)</f>
        <v/>
      </c>
      <c r="AM12" s="698">
        <f>-SUMIF('TB Mnthly'!$A:$A,'PnL Mnthly'!$A12,'TB Mnthly'!AN:AN)</f>
        <v/>
      </c>
      <c r="AN12" s="698">
        <f>-SUMIF('TB Mnthly'!$A:$A,'PnL Mnthly'!$A12,'TB Mnthly'!AO:AO)</f>
        <v/>
      </c>
      <c r="AO12" s="698">
        <f>-SUMIF('TB Mnthly'!$A:$A,'PnL Mnthly'!$A12,'TB Mnthly'!AP:AP)</f>
        <v/>
      </c>
      <c r="AP12" s="698">
        <f>-SUMIF('TB Mnthly'!$A:$A,'PnL Mnthly'!$A12,'TB Mnthly'!AQ:AQ)</f>
        <v/>
      </c>
      <c r="AQ12" s="699">
        <f>SUM(AD12:AP12)</f>
        <v/>
      </c>
      <c r="AR12" s="699" t="n"/>
      <c r="AS12" s="698">
        <f>-SUMIF('TB Mnthly'!$A:$A,'PnL Mnthly'!$A12,'TB Mnthly'!AT:AT)</f>
        <v/>
      </c>
      <c r="AT12" s="698">
        <f>-SUMIF('TB Mnthly'!$A:$A,'PnL Mnthly'!$A12,'TB Mnthly'!AU:AU)</f>
        <v/>
      </c>
      <c r="AU12" s="698">
        <f>-SUMIF('TB Mnthly'!$A:$A,'PnL Mnthly'!$A12,'TB Mnthly'!AV:AV)</f>
        <v/>
      </c>
      <c r="AV12" s="698">
        <f>-SUMIF('TB Mnthly'!$A:$A,'PnL Mnthly'!$A12,'TB Mnthly'!AW:AW)</f>
        <v/>
      </c>
      <c r="AW12" s="698">
        <f>-SUMIF('TB Mnthly'!$A:$A,'PnL Mnthly'!$A12,'TB Mnthly'!AX:AX)</f>
        <v/>
      </c>
      <c r="AX12" s="698">
        <f>-SUMIF('TB Mnthly'!$A:$A,'PnL Mnthly'!$A12,'TB Mnthly'!AY:AY)</f>
        <v/>
      </c>
      <c r="AY12" s="698">
        <f>-SUMIF('TB Mnthly'!$A:$A,'PnL Mnthly'!$A12,'TB Mnthly'!AZ:AZ)</f>
        <v/>
      </c>
      <c r="AZ12" s="698">
        <f>-SUMIF('TB Mnthly'!$A:$A,'PnL Mnthly'!$A12,'TB Mnthly'!BA:BA)</f>
        <v/>
      </c>
      <c r="BA12" s="698">
        <f>-SUMIF('TB Mnthly'!$A:$A,'PnL Mnthly'!$A12,'TB Mnthly'!BB:BB)</f>
        <v/>
      </c>
      <c r="BB12" s="698">
        <f>-SUMIF('TB Mnthly'!$A:$A,'PnL Mnthly'!$A12,'TB Mnthly'!BC:BC)</f>
        <v/>
      </c>
      <c r="BC12" s="698">
        <f>-SUMIF('TB Mnthly'!$A:$A,'PnL Mnthly'!$A12,'TB Mnthly'!BD:BD)</f>
        <v/>
      </c>
      <c r="BD12" s="698">
        <f>-SUMIF('TB Mnthly'!$A:$A,'PnL Mnthly'!$A12,'TB Mnthly'!BE:BE)</f>
        <v/>
      </c>
      <c r="BE12" s="699">
        <f>SUM(AR12:BD12)</f>
        <v/>
      </c>
      <c r="BF12" s="699" t="n"/>
      <c r="BG12" s="698">
        <f>-SUMIF('TB Mnthly'!$A:$A,'PnL Mnthly'!$A12,'TB Mnthly'!BH:BH)</f>
        <v/>
      </c>
      <c r="BH12" s="698">
        <f>-SUMIF('TB Mnthly'!$A:$A,'PnL Mnthly'!$A12,'TB Mnthly'!BI:BI)</f>
        <v/>
      </c>
      <c r="BI12" s="698">
        <f>-SUMIF('TB Mnthly'!$A:$A,'PnL Mnthly'!$A12,'TB Mnthly'!BJ:BJ)</f>
        <v/>
      </c>
      <c r="BJ12" s="698">
        <f>-SUMIF('TB Mnthly'!$A:$A,'PnL Mnthly'!$A12,'TB Mnthly'!BK:BK)</f>
        <v/>
      </c>
      <c r="BK12" s="698">
        <f>-SUMIF('TB Mnthly'!$A:$A,'PnL Mnthly'!$A12,'TB Mnthly'!BL:BL)</f>
        <v/>
      </c>
      <c r="BL12" s="698">
        <f>-SUMIF('TB Mnthly'!$A:$A,'PnL Mnthly'!$A12,'TB Mnthly'!BM:BM)</f>
        <v/>
      </c>
      <c r="BM12" s="698">
        <f>-SUMIF('TB Mnthly'!$A:$A,'PnL Mnthly'!$A12,'TB Mnthly'!BN:BN)</f>
        <v/>
      </c>
      <c r="BN12" s="698">
        <f>-SUMIF('TB Mnthly'!$A:$A,'PnL Mnthly'!$A12,'TB Mnthly'!BO:BO)</f>
        <v/>
      </c>
      <c r="BO12" s="698">
        <f>-SUMIF('TB Mnthly'!$A:$A,'PnL Mnthly'!$A12,'TB Mnthly'!BP:BP)</f>
        <v/>
      </c>
      <c r="BP12" s="698">
        <f>-SUMIF('TB Mnthly'!$A:$A,'PnL Mnthly'!$A12,'TB Mnthly'!BQ:BQ)</f>
        <v/>
      </c>
      <c r="BQ12" s="698">
        <f>-SUMIF('TB Mnthly'!$A:$A,'PnL Mnthly'!$A12,'TB Mnthly'!BR:BR)</f>
        <v/>
      </c>
      <c r="BR12" s="698">
        <f>-SUMIF('TB Mnthly'!$A:$A,'PnL Mnthly'!$A12,'TB Mnthly'!BS:BS)</f>
        <v/>
      </c>
      <c r="BS12" s="699">
        <f>SUM(BF12:BR12)</f>
        <v/>
      </c>
    </row>
    <row r="13">
      <c r="A13" s="697" t="inlineStr">
        <is>
          <t>Enterprise 3  (Up to 50 Employees)</t>
        </is>
      </c>
      <c r="B13" s="698">
        <f>-SUMIF('TB Mnthly'!$A:$A,'PnL Mnthly'!$A13,'TB Mnthly'!C:C)</f>
        <v/>
      </c>
      <c r="C13" s="698">
        <f>-SUMIF('TB Mnthly'!$A:$A,'PnL Mnthly'!$A13,'TB Mnthly'!D:D)</f>
        <v/>
      </c>
      <c r="D13" s="698">
        <f>-SUMIF('TB Mnthly'!$A:$A,'PnL Mnthly'!$A13,'TB Mnthly'!E:E)</f>
        <v/>
      </c>
      <c r="E13" s="698">
        <f>-SUMIF('TB Mnthly'!$A:$A,'PnL Mnthly'!$A13,'TB Mnthly'!F:F)</f>
        <v/>
      </c>
      <c r="F13" s="698">
        <f>-SUMIF('TB Mnthly'!$A:$A,'PnL Mnthly'!$A13,'TB Mnthly'!G:G)</f>
        <v/>
      </c>
      <c r="G13" s="698">
        <f>-SUMIF('TB Mnthly'!$A:$A,'PnL Mnthly'!$A13,'TB Mnthly'!H:H)</f>
        <v/>
      </c>
      <c r="H13" s="698">
        <f>-SUMIF('TB Mnthly'!$A:$A,'PnL Mnthly'!$A13,'TB Mnthly'!I:I)</f>
        <v/>
      </c>
      <c r="I13" s="698">
        <f>-SUMIF('TB Mnthly'!$A:$A,'PnL Mnthly'!$A13,'TB Mnthly'!J:J)</f>
        <v/>
      </c>
      <c r="J13" s="698">
        <f>-SUMIF('TB Mnthly'!$A:$A,'PnL Mnthly'!$A13,'TB Mnthly'!K:K)</f>
        <v/>
      </c>
      <c r="K13" s="698">
        <f>-SUMIF('TB Mnthly'!$A:$A,'PnL Mnthly'!$A13,'TB Mnthly'!L:L)</f>
        <v/>
      </c>
      <c r="L13" s="698">
        <f>-SUMIF('TB Mnthly'!$A:$A,'PnL Mnthly'!$A13,'TB Mnthly'!M:M)</f>
        <v/>
      </c>
      <c r="M13" s="698">
        <f>-SUMIF('TB Mnthly'!$A:$A,'PnL Mnthly'!$A13,'TB Mnthly'!N:N)</f>
        <v/>
      </c>
      <c r="N13" s="698">
        <f>-SUMIF('TB Mnthly'!$A:$A,'PnL Mnthly'!$A13,'TB Mnthly'!O:O)</f>
        <v/>
      </c>
      <c r="O13" s="699">
        <f>SUM(B13:N13)</f>
        <v/>
      </c>
      <c r="P13" s="700" t="n"/>
      <c r="Q13" s="698">
        <f>-SUMIF('TB Mnthly'!$A:$A,'PnL Mnthly'!$A13,'TB Mnthly'!R:R)</f>
        <v/>
      </c>
      <c r="R13" s="698">
        <f>-SUMIF('TB Mnthly'!$A:$A,'PnL Mnthly'!$A13,'TB Mnthly'!S:S)</f>
        <v/>
      </c>
      <c r="S13" s="698">
        <f>-SUMIF('TB Mnthly'!$A:$A,'PnL Mnthly'!$A13,'TB Mnthly'!T:T)</f>
        <v/>
      </c>
      <c r="T13" s="698">
        <f>-SUMIF('TB Mnthly'!$A:$A,'PnL Mnthly'!$A13,'TB Mnthly'!U:U)</f>
        <v/>
      </c>
      <c r="U13" s="698">
        <f>-SUMIF('TB Mnthly'!$A:$A,'PnL Mnthly'!$A13,'TB Mnthly'!V:V)</f>
        <v/>
      </c>
      <c r="V13" s="698">
        <f>-SUMIF('TB Mnthly'!$A:$A,'PnL Mnthly'!$A13,'TB Mnthly'!W:W)</f>
        <v/>
      </c>
      <c r="W13" s="698">
        <f>-SUMIF('TB Mnthly'!$A:$A,'PnL Mnthly'!$A13,'TB Mnthly'!X:X)</f>
        <v/>
      </c>
      <c r="X13" s="698">
        <f>-SUMIF('TB Mnthly'!$A:$A,'PnL Mnthly'!$A13,'TB Mnthly'!Y:Y)</f>
        <v/>
      </c>
      <c r="Y13" s="698">
        <f>-SUMIF('TB Mnthly'!$A:$A,'PnL Mnthly'!$A13,'TB Mnthly'!Z:Z)</f>
        <v/>
      </c>
      <c r="Z13" s="698">
        <f>-SUMIF('TB Mnthly'!$A:$A,'PnL Mnthly'!$A13,'TB Mnthly'!AA:AA)</f>
        <v/>
      </c>
      <c r="AA13" s="698">
        <f>-SUMIF('TB Mnthly'!$A:$A,'PnL Mnthly'!$A13,'TB Mnthly'!AB:AB)</f>
        <v/>
      </c>
      <c r="AB13" s="698">
        <f>-SUMIF('TB Mnthly'!$A:$A,'PnL Mnthly'!$A13,'TB Mnthly'!AC:AC)</f>
        <v/>
      </c>
      <c r="AC13" s="699">
        <f>SUM(P13:AB13)</f>
        <v/>
      </c>
      <c r="AD13" s="701" t="n"/>
      <c r="AE13" s="698">
        <f>-SUMIF('TB Mnthly'!$A:$A,'PnL Mnthly'!$A13,'TB Mnthly'!AF:AF)</f>
        <v/>
      </c>
      <c r="AF13" s="698">
        <f>-SUMIF('TB Mnthly'!$A:$A,'PnL Mnthly'!$A13,'TB Mnthly'!AG:AG)</f>
        <v/>
      </c>
      <c r="AG13" s="698">
        <f>-SUMIF('TB Mnthly'!$A:$A,'PnL Mnthly'!$A13,'TB Mnthly'!AH:AH)</f>
        <v/>
      </c>
      <c r="AH13" s="698">
        <f>-SUMIF('TB Mnthly'!$A:$A,'PnL Mnthly'!$A13,'TB Mnthly'!AI:AI)</f>
        <v/>
      </c>
      <c r="AI13" s="698">
        <f>-SUMIF('TB Mnthly'!$A:$A,'PnL Mnthly'!$A13,'TB Mnthly'!AJ:AJ)</f>
        <v/>
      </c>
      <c r="AJ13" s="698">
        <f>-SUMIF('TB Mnthly'!$A:$A,'PnL Mnthly'!$A13,'TB Mnthly'!AK:AK)</f>
        <v/>
      </c>
      <c r="AK13" s="698">
        <f>-SUMIF('TB Mnthly'!$A:$A,'PnL Mnthly'!$A13,'TB Mnthly'!AL:AL)</f>
        <v/>
      </c>
      <c r="AL13" s="698">
        <f>-SUMIF('TB Mnthly'!$A:$A,'PnL Mnthly'!$A13,'TB Mnthly'!AM:AM)</f>
        <v/>
      </c>
      <c r="AM13" s="698">
        <f>-SUMIF('TB Mnthly'!$A:$A,'PnL Mnthly'!$A13,'TB Mnthly'!AN:AN)</f>
        <v/>
      </c>
      <c r="AN13" s="698">
        <f>-SUMIF('TB Mnthly'!$A:$A,'PnL Mnthly'!$A13,'TB Mnthly'!AO:AO)</f>
        <v/>
      </c>
      <c r="AO13" s="698">
        <f>-SUMIF('TB Mnthly'!$A:$A,'PnL Mnthly'!$A13,'TB Mnthly'!AP:AP)</f>
        <v/>
      </c>
      <c r="AP13" s="698">
        <f>-SUMIF('TB Mnthly'!$A:$A,'PnL Mnthly'!$A13,'TB Mnthly'!AQ:AQ)</f>
        <v/>
      </c>
      <c r="AQ13" s="699">
        <f>SUM(AD13:AP13)</f>
        <v/>
      </c>
      <c r="AR13" s="699" t="n"/>
      <c r="AS13" s="698">
        <f>-SUMIF('TB Mnthly'!$A:$A,'PnL Mnthly'!$A13,'TB Mnthly'!AT:AT)</f>
        <v/>
      </c>
      <c r="AT13" s="698">
        <f>-SUMIF('TB Mnthly'!$A:$A,'PnL Mnthly'!$A13,'TB Mnthly'!AU:AU)</f>
        <v/>
      </c>
      <c r="AU13" s="698">
        <f>-SUMIF('TB Mnthly'!$A:$A,'PnL Mnthly'!$A13,'TB Mnthly'!AV:AV)</f>
        <v/>
      </c>
      <c r="AV13" s="698">
        <f>-SUMIF('TB Mnthly'!$A:$A,'PnL Mnthly'!$A13,'TB Mnthly'!AW:AW)</f>
        <v/>
      </c>
      <c r="AW13" s="698">
        <f>-SUMIF('TB Mnthly'!$A:$A,'PnL Mnthly'!$A13,'TB Mnthly'!AX:AX)</f>
        <v/>
      </c>
      <c r="AX13" s="698">
        <f>-SUMIF('TB Mnthly'!$A:$A,'PnL Mnthly'!$A13,'TB Mnthly'!AY:AY)</f>
        <v/>
      </c>
      <c r="AY13" s="698">
        <f>-SUMIF('TB Mnthly'!$A:$A,'PnL Mnthly'!$A13,'TB Mnthly'!AZ:AZ)</f>
        <v/>
      </c>
      <c r="AZ13" s="698">
        <f>-SUMIF('TB Mnthly'!$A:$A,'PnL Mnthly'!$A13,'TB Mnthly'!BA:BA)</f>
        <v/>
      </c>
      <c r="BA13" s="698">
        <f>-SUMIF('TB Mnthly'!$A:$A,'PnL Mnthly'!$A13,'TB Mnthly'!BB:BB)</f>
        <v/>
      </c>
      <c r="BB13" s="698">
        <f>-SUMIF('TB Mnthly'!$A:$A,'PnL Mnthly'!$A13,'TB Mnthly'!BC:BC)</f>
        <v/>
      </c>
      <c r="BC13" s="698">
        <f>-SUMIF('TB Mnthly'!$A:$A,'PnL Mnthly'!$A13,'TB Mnthly'!BD:BD)</f>
        <v/>
      </c>
      <c r="BD13" s="698">
        <f>-SUMIF('TB Mnthly'!$A:$A,'PnL Mnthly'!$A13,'TB Mnthly'!BE:BE)</f>
        <v/>
      </c>
      <c r="BE13" s="699">
        <f>SUM(AR13:BD13)</f>
        <v/>
      </c>
      <c r="BF13" s="699" t="n"/>
      <c r="BG13" s="698">
        <f>-SUMIF('TB Mnthly'!$A:$A,'PnL Mnthly'!$A13,'TB Mnthly'!BH:BH)</f>
        <v/>
      </c>
      <c r="BH13" s="698">
        <f>-SUMIF('TB Mnthly'!$A:$A,'PnL Mnthly'!$A13,'TB Mnthly'!BI:BI)</f>
        <v/>
      </c>
      <c r="BI13" s="698">
        <f>-SUMIF('TB Mnthly'!$A:$A,'PnL Mnthly'!$A13,'TB Mnthly'!BJ:BJ)</f>
        <v/>
      </c>
      <c r="BJ13" s="698">
        <f>-SUMIF('TB Mnthly'!$A:$A,'PnL Mnthly'!$A13,'TB Mnthly'!BK:BK)</f>
        <v/>
      </c>
      <c r="BK13" s="698">
        <f>-SUMIF('TB Mnthly'!$A:$A,'PnL Mnthly'!$A13,'TB Mnthly'!BL:BL)</f>
        <v/>
      </c>
      <c r="BL13" s="698">
        <f>-SUMIF('TB Mnthly'!$A:$A,'PnL Mnthly'!$A13,'TB Mnthly'!BM:BM)</f>
        <v/>
      </c>
      <c r="BM13" s="698">
        <f>-SUMIF('TB Mnthly'!$A:$A,'PnL Mnthly'!$A13,'TB Mnthly'!BN:BN)</f>
        <v/>
      </c>
      <c r="BN13" s="698">
        <f>-SUMIF('TB Mnthly'!$A:$A,'PnL Mnthly'!$A13,'TB Mnthly'!BO:BO)</f>
        <v/>
      </c>
      <c r="BO13" s="698">
        <f>-SUMIF('TB Mnthly'!$A:$A,'PnL Mnthly'!$A13,'TB Mnthly'!BP:BP)</f>
        <v/>
      </c>
      <c r="BP13" s="698">
        <f>-SUMIF('TB Mnthly'!$A:$A,'PnL Mnthly'!$A13,'TB Mnthly'!BQ:BQ)</f>
        <v/>
      </c>
      <c r="BQ13" s="698">
        <f>-SUMIF('TB Mnthly'!$A:$A,'PnL Mnthly'!$A13,'TB Mnthly'!BR:BR)</f>
        <v/>
      </c>
      <c r="BR13" s="698">
        <f>-SUMIF('TB Mnthly'!$A:$A,'PnL Mnthly'!$A13,'TB Mnthly'!BS:BS)</f>
        <v/>
      </c>
      <c r="BS13" s="699">
        <f>SUM(BF13:BR13)</f>
        <v/>
      </c>
    </row>
    <row r="14">
      <c r="A14" s="697" t="inlineStr">
        <is>
          <t>Enterprise 4  (Up to 99 Employees)</t>
        </is>
      </c>
      <c r="B14" s="698">
        <f>-SUMIF('TB Mnthly'!$A:$A,'PnL Mnthly'!$A14,'TB Mnthly'!C:C)</f>
        <v/>
      </c>
      <c r="C14" s="698">
        <f>-SUMIF('TB Mnthly'!$A:$A,'PnL Mnthly'!$A14,'TB Mnthly'!D:D)</f>
        <v/>
      </c>
      <c r="D14" s="698">
        <f>-SUMIF('TB Mnthly'!$A:$A,'PnL Mnthly'!$A14,'TB Mnthly'!E:E)</f>
        <v/>
      </c>
      <c r="E14" s="698">
        <f>-SUMIF('TB Mnthly'!$A:$A,'PnL Mnthly'!$A14,'TB Mnthly'!F:F)</f>
        <v/>
      </c>
      <c r="F14" s="698">
        <f>-SUMIF('TB Mnthly'!$A:$A,'PnL Mnthly'!$A14,'TB Mnthly'!G:G)</f>
        <v/>
      </c>
      <c r="G14" s="698">
        <f>-SUMIF('TB Mnthly'!$A:$A,'PnL Mnthly'!$A14,'TB Mnthly'!H:H)</f>
        <v/>
      </c>
      <c r="H14" s="698">
        <f>-SUMIF('TB Mnthly'!$A:$A,'PnL Mnthly'!$A14,'TB Mnthly'!I:I)</f>
        <v/>
      </c>
      <c r="I14" s="698">
        <f>-SUMIF('TB Mnthly'!$A:$A,'PnL Mnthly'!$A14,'TB Mnthly'!J:J)</f>
        <v/>
      </c>
      <c r="J14" s="698">
        <f>-SUMIF('TB Mnthly'!$A:$A,'PnL Mnthly'!$A14,'TB Mnthly'!K:K)</f>
        <v/>
      </c>
      <c r="K14" s="698">
        <f>-SUMIF('TB Mnthly'!$A:$A,'PnL Mnthly'!$A14,'TB Mnthly'!L:L)</f>
        <v/>
      </c>
      <c r="L14" s="698">
        <f>-SUMIF('TB Mnthly'!$A:$A,'PnL Mnthly'!$A14,'TB Mnthly'!M:M)</f>
        <v/>
      </c>
      <c r="M14" s="698">
        <f>-SUMIF('TB Mnthly'!$A:$A,'PnL Mnthly'!$A14,'TB Mnthly'!N:N)</f>
        <v/>
      </c>
      <c r="N14" s="698">
        <f>-SUMIF('TB Mnthly'!$A:$A,'PnL Mnthly'!$A14,'TB Mnthly'!O:O)</f>
        <v/>
      </c>
      <c r="O14" s="699">
        <f>SUM(B14:N14)</f>
        <v/>
      </c>
      <c r="P14" s="700" t="n"/>
      <c r="Q14" s="698">
        <f>-SUMIF('TB Mnthly'!$A:$A,'PnL Mnthly'!$A14,'TB Mnthly'!R:R)</f>
        <v/>
      </c>
      <c r="R14" s="698">
        <f>-SUMIF('TB Mnthly'!$A:$A,'PnL Mnthly'!$A14,'TB Mnthly'!S:S)</f>
        <v/>
      </c>
      <c r="S14" s="698">
        <f>-SUMIF('TB Mnthly'!$A:$A,'PnL Mnthly'!$A14,'TB Mnthly'!T:T)</f>
        <v/>
      </c>
      <c r="T14" s="698">
        <f>-SUMIF('TB Mnthly'!$A:$A,'PnL Mnthly'!$A14,'TB Mnthly'!U:U)</f>
        <v/>
      </c>
      <c r="U14" s="698">
        <f>-SUMIF('TB Mnthly'!$A:$A,'PnL Mnthly'!$A14,'TB Mnthly'!V:V)</f>
        <v/>
      </c>
      <c r="V14" s="698">
        <f>-SUMIF('TB Mnthly'!$A:$A,'PnL Mnthly'!$A14,'TB Mnthly'!W:W)</f>
        <v/>
      </c>
      <c r="W14" s="698">
        <f>-SUMIF('TB Mnthly'!$A:$A,'PnL Mnthly'!$A14,'TB Mnthly'!X:X)</f>
        <v/>
      </c>
      <c r="X14" s="698">
        <f>-SUMIF('TB Mnthly'!$A:$A,'PnL Mnthly'!$A14,'TB Mnthly'!Y:Y)</f>
        <v/>
      </c>
      <c r="Y14" s="698">
        <f>-SUMIF('TB Mnthly'!$A:$A,'PnL Mnthly'!$A14,'TB Mnthly'!Z:Z)</f>
        <v/>
      </c>
      <c r="Z14" s="698">
        <f>-SUMIF('TB Mnthly'!$A:$A,'PnL Mnthly'!$A14,'TB Mnthly'!AA:AA)</f>
        <v/>
      </c>
      <c r="AA14" s="698">
        <f>-SUMIF('TB Mnthly'!$A:$A,'PnL Mnthly'!$A14,'TB Mnthly'!AB:AB)</f>
        <v/>
      </c>
      <c r="AB14" s="698">
        <f>-SUMIF('TB Mnthly'!$A:$A,'PnL Mnthly'!$A14,'TB Mnthly'!AC:AC)</f>
        <v/>
      </c>
      <c r="AC14" s="699">
        <f>SUM(P14:AB14)</f>
        <v/>
      </c>
      <c r="AD14" s="701" t="n"/>
      <c r="AE14" s="698">
        <f>-SUMIF('TB Mnthly'!$A:$A,'PnL Mnthly'!$A14,'TB Mnthly'!AF:AF)</f>
        <v/>
      </c>
      <c r="AF14" s="698">
        <f>-SUMIF('TB Mnthly'!$A:$A,'PnL Mnthly'!$A14,'TB Mnthly'!AG:AG)</f>
        <v/>
      </c>
      <c r="AG14" s="698">
        <f>-SUMIF('TB Mnthly'!$A:$A,'PnL Mnthly'!$A14,'TB Mnthly'!AH:AH)</f>
        <v/>
      </c>
      <c r="AH14" s="698">
        <f>-SUMIF('TB Mnthly'!$A:$A,'PnL Mnthly'!$A14,'TB Mnthly'!AI:AI)</f>
        <v/>
      </c>
      <c r="AI14" s="698">
        <f>-SUMIF('TB Mnthly'!$A:$A,'PnL Mnthly'!$A14,'TB Mnthly'!AJ:AJ)</f>
        <v/>
      </c>
      <c r="AJ14" s="698">
        <f>-SUMIF('TB Mnthly'!$A:$A,'PnL Mnthly'!$A14,'TB Mnthly'!AK:AK)</f>
        <v/>
      </c>
      <c r="AK14" s="698">
        <f>-SUMIF('TB Mnthly'!$A:$A,'PnL Mnthly'!$A14,'TB Mnthly'!AL:AL)</f>
        <v/>
      </c>
      <c r="AL14" s="698">
        <f>-SUMIF('TB Mnthly'!$A:$A,'PnL Mnthly'!$A14,'TB Mnthly'!AM:AM)</f>
        <v/>
      </c>
      <c r="AM14" s="698">
        <f>-SUMIF('TB Mnthly'!$A:$A,'PnL Mnthly'!$A14,'TB Mnthly'!AN:AN)</f>
        <v/>
      </c>
      <c r="AN14" s="698">
        <f>-SUMIF('TB Mnthly'!$A:$A,'PnL Mnthly'!$A14,'TB Mnthly'!AO:AO)</f>
        <v/>
      </c>
      <c r="AO14" s="698">
        <f>-SUMIF('TB Mnthly'!$A:$A,'PnL Mnthly'!$A14,'TB Mnthly'!AP:AP)</f>
        <v/>
      </c>
      <c r="AP14" s="698">
        <f>-SUMIF('TB Mnthly'!$A:$A,'PnL Mnthly'!$A14,'TB Mnthly'!AQ:AQ)</f>
        <v/>
      </c>
      <c r="AQ14" s="699">
        <f>SUM(AD14:AP14)</f>
        <v/>
      </c>
      <c r="AR14" s="699" t="n"/>
      <c r="AS14" s="698">
        <f>-SUMIF('TB Mnthly'!$A:$A,'PnL Mnthly'!$A14,'TB Mnthly'!AT:AT)</f>
        <v/>
      </c>
      <c r="AT14" s="698">
        <f>-SUMIF('TB Mnthly'!$A:$A,'PnL Mnthly'!$A14,'TB Mnthly'!AU:AU)</f>
        <v/>
      </c>
      <c r="AU14" s="698">
        <f>-SUMIF('TB Mnthly'!$A:$A,'PnL Mnthly'!$A14,'TB Mnthly'!AV:AV)</f>
        <v/>
      </c>
      <c r="AV14" s="698">
        <f>-SUMIF('TB Mnthly'!$A:$A,'PnL Mnthly'!$A14,'TB Mnthly'!AW:AW)</f>
        <v/>
      </c>
      <c r="AW14" s="698">
        <f>-SUMIF('TB Mnthly'!$A:$A,'PnL Mnthly'!$A14,'TB Mnthly'!AX:AX)</f>
        <v/>
      </c>
      <c r="AX14" s="698">
        <f>-SUMIF('TB Mnthly'!$A:$A,'PnL Mnthly'!$A14,'TB Mnthly'!AY:AY)</f>
        <v/>
      </c>
      <c r="AY14" s="698">
        <f>-SUMIF('TB Mnthly'!$A:$A,'PnL Mnthly'!$A14,'TB Mnthly'!AZ:AZ)</f>
        <v/>
      </c>
      <c r="AZ14" s="698">
        <f>-SUMIF('TB Mnthly'!$A:$A,'PnL Mnthly'!$A14,'TB Mnthly'!BA:BA)</f>
        <v/>
      </c>
      <c r="BA14" s="698">
        <f>-SUMIF('TB Mnthly'!$A:$A,'PnL Mnthly'!$A14,'TB Mnthly'!BB:BB)</f>
        <v/>
      </c>
      <c r="BB14" s="698">
        <f>-SUMIF('TB Mnthly'!$A:$A,'PnL Mnthly'!$A14,'TB Mnthly'!BC:BC)</f>
        <v/>
      </c>
      <c r="BC14" s="698">
        <f>-SUMIF('TB Mnthly'!$A:$A,'PnL Mnthly'!$A14,'TB Mnthly'!BD:BD)</f>
        <v/>
      </c>
      <c r="BD14" s="698">
        <f>-SUMIF('TB Mnthly'!$A:$A,'PnL Mnthly'!$A14,'TB Mnthly'!BE:BE)</f>
        <v/>
      </c>
      <c r="BE14" s="699">
        <f>SUM(AR14:BD14)</f>
        <v/>
      </c>
      <c r="BF14" s="699" t="n"/>
      <c r="BG14" s="698">
        <f>-SUMIF('TB Mnthly'!$A:$A,'PnL Mnthly'!$A14,'TB Mnthly'!BH:BH)</f>
        <v/>
      </c>
      <c r="BH14" s="698">
        <f>-SUMIF('TB Mnthly'!$A:$A,'PnL Mnthly'!$A14,'TB Mnthly'!BI:BI)</f>
        <v/>
      </c>
      <c r="BI14" s="698">
        <f>-SUMIF('TB Mnthly'!$A:$A,'PnL Mnthly'!$A14,'TB Mnthly'!BJ:BJ)</f>
        <v/>
      </c>
      <c r="BJ14" s="698">
        <f>-SUMIF('TB Mnthly'!$A:$A,'PnL Mnthly'!$A14,'TB Mnthly'!BK:BK)</f>
        <v/>
      </c>
      <c r="BK14" s="698">
        <f>-SUMIF('TB Mnthly'!$A:$A,'PnL Mnthly'!$A14,'TB Mnthly'!BL:BL)</f>
        <v/>
      </c>
      <c r="BL14" s="698">
        <f>-SUMIF('TB Mnthly'!$A:$A,'PnL Mnthly'!$A14,'TB Mnthly'!BM:BM)</f>
        <v/>
      </c>
      <c r="BM14" s="698">
        <f>-SUMIF('TB Mnthly'!$A:$A,'PnL Mnthly'!$A14,'TB Mnthly'!BN:BN)</f>
        <v/>
      </c>
      <c r="BN14" s="698">
        <f>-SUMIF('TB Mnthly'!$A:$A,'PnL Mnthly'!$A14,'TB Mnthly'!BO:BO)</f>
        <v/>
      </c>
      <c r="BO14" s="698">
        <f>-SUMIF('TB Mnthly'!$A:$A,'PnL Mnthly'!$A14,'TB Mnthly'!BP:BP)</f>
        <v/>
      </c>
      <c r="BP14" s="698">
        <f>-SUMIF('TB Mnthly'!$A:$A,'PnL Mnthly'!$A14,'TB Mnthly'!BQ:BQ)</f>
        <v/>
      </c>
      <c r="BQ14" s="698">
        <f>-SUMIF('TB Mnthly'!$A:$A,'PnL Mnthly'!$A14,'TB Mnthly'!BR:BR)</f>
        <v/>
      </c>
      <c r="BR14" s="698">
        <f>-SUMIF('TB Mnthly'!$A:$A,'PnL Mnthly'!$A14,'TB Mnthly'!BS:BS)</f>
        <v/>
      </c>
      <c r="BS14" s="699">
        <f>SUM(BF14:BR14)</f>
        <v/>
      </c>
    </row>
    <row r="15">
      <c r="A15" s="697">
        <f>Calc!A12</f>
        <v/>
      </c>
      <c r="B15" s="698">
        <f>-SUMIF('TB Mnthly'!$A:$A,'PnL Mnthly'!$A15,'TB Mnthly'!C:C)</f>
        <v/>
      </c>
      <c r="C15" s="698">
        <f>-SUMIF('TB Mnthly'!$A:$A,'PnL Mnthly'!$A15,'TB Mnthly'!D:D)</f>
        <v/>
      </c>
      <c r="D15" s="698">
        <f>-SUMIF('TB Mnthly'!$A:$A,'PnL Mnthly'!$A15,'TB Mnthly'!E:E)</f>
        <v/>
      </c>
      <c r="E15" s="698">
        <f>-SUMIF('TB Mnthly'!$A:$A,'PnL Mnthly'!$A15,'TB Mnthly'!F:F)</f>
        <v/>
      </c>
      <c r="F15" s="698">
        <f>-SUMIF('TB Mnthly'!$A:$A,'PnL Mnthly'!$A15,'TB Mnthly'!G:G)</f>
        <v/>
      </c>
      <c r="G15" s="698">
        <f>-SUMIF('TB Mnthly'!$A:$A,'PnL Mnthly'!$A15,'TB Mnthly'!H:H)</f>
        <v/>
      </c>
      <c r="H15" s="698">
        <f>-SUMIF('TB Mnthly'!$A:$A,'PnL Mnthly'!$A15,'TB Mnthly'!I:I)</f>
        <v/>
      </c>
      <c r="I15" s="698">
        <f>-SUMIF('TB Mnthly'!$A:$A,'PnL Mnthly'!$A15,'TB Mnthly'!J:J)</f>
        <v/>
      </c>
      <c r="J15" s="698">
        <f>-SUMIF('TB Mnthly'!$A:$A,'PnL Mnthly'!$A15,'TB Mnthly'!K:K)</f>
        <v/>
      </c>
      <c r="K15" s="698">
        <f>-SUMIF('TB Mnthly'!$A:$A,'PnL Mnthly'!$A15,'TB Mnthly'!L:L)</f>
        <v/>
      </c>
      <c r="L15" s="698">
        <f>-SUMIF('TB Mnthly'!$A:$A,'PnL Mnthly'!$A15,'TB Mnthly'!M:M)</f>
        <v/>
      </c>
      <c r="M15" s="698">
        <f>-SUMIF('TB Mnthly'!$A:$A,'PnL Mnthly'!$A15,'TB Mnthly'!N:N)</f>
        <v/>
      </c>
      <c r="N15" s="698">
        <f>-SUMIF('TB Mnthly'!$A:$A,'PnL Mnthly'!$A15,'TB Mnthly'!O:O)</f>
        <v/>
      </c>
      <c r="O15" s="699">
        <f>SUM(B15:N15)</f>
        <v/>
      </c>
      <c r="P15" s="700" t="n"/>
      <c r="Q15" s="698">
        <f>-SUMIF('TB Mnthly'!$A:$A,'PnL Mnthly'!$A15,'TB Mnthly'!R:R)</f>
        <v/>
      </c>
      <c r="R15" s="698">
        <f>-SUMIF('TB Mnthly'!$A:$A,'PnL Mnthly'!$A15,'TB Mnthly'!S:S)</f>
        <v/>
      </c>
      <c r="S15" s="698">
        <f>-SUMIF('TB Mnthly'!$A:$A,'PnL Mnthly'!$A15,'TB Mnthly'!T:T)</f>
        <v/>
      </c>
      <c r="T15" s="698">
        <f>-SUMIF('TB Mnthly'!$A:$A,'PnL Mnthly'!$A15,'TB Mnthly'!U:U)</f>
        <v/>
      </c>
      <c r="U15" s="698">
        <f>-SUMIF('TB Mnthly'!$A:$A,'PnL Mnthly'!$A15,'TB Mnthly'!V:V)</f>
        <v/>
      </c>
      <c r="V15" s="698">
        <f>-SUMIF('TB Mnthly'!$A:$A,'PnL Mnthly'!$A15,'TB Mnthly'!W:W)</f>
        <v/>
      </c>
      <c r="W15" s="698">
        <f>-SUMIF('TB Mnthly'!$A:$A,'PnL Mnthly'!$A15,'TB Mnthly'!X:X)</f>
        <v/>
      </c>
      <c r="X15" s="698">
        <f>-SUMIF('TB Mnthly'!$A:$A,'PnL Mnthly'!$A15,'TB Mnthly'!Y:Y)</f>
        <v/>
      </c>
      <c r="Y15" s="698">
        <f>-SUMIF('TB Mnthly'!$A:$A,'PnL Mnthly'!$A15,'TB Mnthly'!Z:Z)</f>
        <v/>
      </c>
      <c r="Z15" s="698">
        <f>-SUMIF('TB Mnthly'!$A:$A,'PnL Mnthly'!$A15,'TB Mnthly'!AA:AA)</f>
        <v/>
      </c>
      <c r="AA15" s="698">
        <f>-SUMIF('TB Mnthly'!$A:$A,'PnL Mnthly'!$A15,'TB Mnthly'!AB:AB)</f>
        <v/>
      </c>
      <c r="AB15" s="698">
        <f>-SUMIF('TB Mnthly'!$A:$A,'PnL Mnthly'!$A15,'TB Mnthly'!AC:AC)</f>
        <v/>
      </c>
      <c r="AC15" s="699">
        <f>SUM(P15:AB15)</f>
        <v/>
      </c>
      <c r="AD15" s="701" t="n"/>
      <c r="AE15" s="698">
        <f>-SUMIF('TB Mnthly'!$A:$A,'PnL Mnthly'!$A15,'TB Mnthly'!AF:AF)</f>
        <v/>
      </c>
      <c r="AF15" s="698">
        <f>-SUMIF('TB Mnthly'!$A:$A,'PnL Mnthly'!$A15,'TB Mnthly'!AG:AG)</f>
        <v/>
      </c>
      <c r="AG15" s="698">
        <f>-SUMIF('TB Mnthly'!$A:$A,'PnL Mnthly'!$A15,'TB Mnthly'!AH:AH)</f>
        <v/>
      </c>
      <c r="AH15" s="698">
        <f>-SUMIF('TB Mnthly'!$A:$A,'PnL Mnthly'!$A15,'TB Mnthly'!AI:AI)</f>
        <v/>
      </c>
      <c r="AI15" s="698">
        <f>-SUMIF('TB Mnthly'!$A:$A,'PnL Mnthly'!$A15,'TB Mnthly'!AJ:AJ)</f>
        <v/>
      </c>
      <c r="AJ15" s="698">
        <f>-SUMIF('TB Mnthly'!$A:$A,'PnL Mnthly'!$A15,'TB Mnthly'!AK:AK)</f>
        <v/>
      </c>
      <c r="AK15" s="698">
        <f>-SUMIF('TB Mnthly'!$A:$A,'PnL Mnthly'!$A15,'TB Mnthly'!AL:AL)</f>
        <v/>
      </c>
      <c r="AL15" s="698">
        <f>-SUMIF('TB Mnthly'!$A:$A,'PnL Mnthly'!$A15,'TB Mnthly'!AM:AM)</f>
        <v/>
      </c>
      <c r="AM15" s="698">
        <f>-SUMIF('TB Mnthly'!$A:$A,'PnL Mnthly'!$A15,'TB Mnthly'!AN:AN)</f>
        <v/>
      </c>
      <c r="AN15" s="698">
        <f>-SUMIF('TB Mnthly'!$A:$A,'PnL Mnthly'!$A15,'TB Mnthly'!AO:AO)</f>
        <v/>
      </c>
      <c r="AO15" s="698">
        <f>-SUMIF('TB Mnthly'!$A:$A,'PnL Mnthly'!$A15,'TB Mnthly'!AP:AP)</f>
        <v/>
      </c>
      <c r="AP15" s="698">
        <f>-SUMIF('TB Mnthly'!$A:$A,'PnL Mnthly'!$A15,'TB Mnthly'!AQ:AQ)</f>
        <v/>
      </c>
      <c r="AQ15" s="699">
        <f>SUM(AD15:AP15)</f>
        <v/>
      </c>
      <c r="AR15" s="699" t="n"/>
      <c r="AS15" s="698">
        <f>-SUMIF('TB Mnthly'!$A:$A,'PnL Mnthly'!$A15,'TB Mnthly'!AT:AT)</f>
        <v/>
      </c>
      <c r="AT15" s="698">
        <f>-SUMIF('TB Mnthly'!$A:$A,'PnL Mnthly'!$A15,'TB Mnthly'!AU:AU)</f>
        <v/>
      </c>
      <c r="AU15" s="698">
        <f>-SUMIF('TB Mnthly'!$A:$A,'PnL Mnthly'!$A15,'TB Mnthly'!AV:AV)</f>
        <v/>
      </c>
      <c r="AV15" s="698">
        <f>-SUMIF('TB Mnthly'!$A:$A,'PnL Mnthly'!$A15,'TB Mnthly'!AW:AW)</f>
        <v/>
      </c>
      <c r="AW15" s="698">
        <f>-SUMIF('TB Mnthly'!$A:$A,'PnL Mnthly'!$A15,'TB Mnthly'!AX:AX)</f>
        <v/>
      </c>
      <c r="AX15" s="698">
        <f>-SUMIF('TB Mnthly'!$A:$A,'PnL Mnthly'!$A15,'TB Mnthly'!AY:AY)</f>
        <v/>
      </c>
      <c r="AY15" s="698">
        <f>-SUMIF('TB Mnthly'!$A:$A,'PnL Mnthly'!$A15,'TB Mnthly'!AZ:AZ)</f>
        <v/>
      </c>
      <c r="AZ15" s="698">
        <f>-SUMIF('TB Mnthly'!$A:$A,'PnL Mnthly'!$A15,'TB Mnthly'!BA:BA)</f>
        <v/>
      </c>
      <c r="BA15" s="698">
        <f>-SUMIF('TB Mnthly'!$A:$A,'PnL Mnthly'!$A15,'TB Mnthly'!BB:BB)</f>
        <v/>
      </c>
      <c r="BB15" s="698">
        <f>-SUMIF('TB Mnthly'!$A:$A,'PnL Mnthly'!$A15,'TB Mnthly'!BC:BC)</f>
        <v/>
      </c>
      <c r="BC15" s="698">
        <f>-SUMIF('TB Mnthly'!$A:$A,'PnL Mnthly'!$A15,'TB Mnthly'!BD:BD)</f>
        <v/>
      </c>
      <c r="BD15" s="698">
        <f>-SUMIF('TB Mnthly'!$A:$A,'PnL Mnthly'!$A15,'TB Mnthly'!BE:BE)</f>
        <v/>
      </c>
      <c r="BE15" s="699">
        <f>SUM(AR15:BD15)</f>
        <v/>
      </c>
      <c r="BF15" s="699" t="n"/>
      <c r="BG15" s="698">
        <f>-SUMIF('TB Mnthly'!$A:$A,'PnL Mnthly'!$A15,'TB Mnthly'!BH:BH)</f>
        <v/>
      </c>
      <c r="BH15" s="698">
        <f>-SUMIF('TB Mnthly'!$A:$A,'PnL Mnthly'!$A15,'TB Mnthly'!BI:BI)</f>
        <v/>
      </c>
      <c r="BI15" s="698">
        <f>-SUMIF('TB Mnthly'!$A:$A,'PnL Mnthly'!$A15,'TB Mnthly'!BJ:BJ)</f>
        <v/>
      </c>
      <c r="BJ15" s="698">
        <f>-SUMIF('TB Mnthly'!$A:$A,'PnL Mnthly'!$A15,'TB Mnthly'!BK:BK)</f>
        <v/>
      </c>
      <c r="BK15" s="698">
        <f>-SUMIF('TB Mnthly'!$A:$A,'PnL Mnthly'!$A15,'TB Mnthly'!BL:BL)</f>
        <v/>
      </c>
      <c r="BL15" s="698">
        <f>-SUMIF('TB Mnthly'!$A:$A,'PnL Mnthly'!$A15,'TB Mnthly'!BM:BM)</f>
        <v/>
      </c>
      <c r="BM15" s="698">
        <f>-SUMIF('TB Mnthly'!$A:$A,'PnL Mnthly'!$A15,'TB Mnthly'!BN:BN)</f>
        <v/>
      </c>
      <c r="BN15" s="698">
        <f>-SUMIF('TB Mnthly'!$A:$A,'PnL Mnthly'!$A15,'TB Mnthly'!BO:BO)</f>
        <v/>
      </c>
      <c r="BO15" s="698">
        <f>-SUMIF('TB Mnthly'!$A:$A,'PnL Mnthly'!$A15,'TB Mnthly'!BP:BP)</f>
        <v/>
      </c>
      <c r="BP15" s="698">
        <f>-SUMIF('TB Mnthly'!$A:$A,'PnL Mnthly'!$A15,'TB Mnthly'!BQ:BQ)</f>
        <v/>
      </c>
      <c r="BQ15" s="698">
        <f>-SUMIF('TB Mnthly'!$A:$A,'PnL Mnthly'!$A15,'TB Mnthly'!BR:BR)</f>
        <v/>
      </c>
      <c r="BR15" s="698">
        <f>-SUMIF('TB Mnthly'!$A:$A,'PnL Mnthly'!$A15,'TB Mnthly'!BS:BS)</f>
        <v/>
      </c>
      <c r="BS15" s="699">
        <f>SUM(BF15:BR15)</f>
        <v/>
      </c>
    </row>
    <row r="16">
      <c r="A16" s="697">
        <f>Calc!A13</f>
        <v/>
      </c>
      <c r="B16" s="698">
        <f>-SUMIF('TB Mnthly'!$A:$A,'PnL Mnthly'!$A16,'TB Mnthly'!C:C)</f>
        <v/>
      </c>
      <c r="C16" s="698">
        <f>-SUMIF('TB Mnthly'!$A:$A,'PnL Mnthly'!$A16,'TB Mnthly'!D:D)</f>
        <v/>
      </c>
      <c r="D16" s="698">
        <f>-SUMIF('TB Mnthly'!$A:$A,'PnL Mnthly'!$A16,'TB Mnthly'!E:E)</f>
        <v/>
      </c>
      <c r="E16" s="698">
        <f>-SUMIF('TB Mnthly'!$A:$A,'PnL Mnthly'!$A16,'TB Mnthly'!F:F)</f>
        <v/>
      </c>
      <c r="F16" s="698">
        <f>-SUMIF('TB Mnthly'!$A:$A,'PnL Mnthly'!$A16,'TB Mnthly'!G:G)</f>
        <v/>
      </c>
      <c r="G16" s="698">
        <f>-SUMIF('TB Mnthly'!$A:$A,'PnL Mnthly'!$A16,'TB Mnthly'!H:H)</f>
        <v/>
      </c>
      <c r="H16" s="698">
        <f>-SUMIF('TB Mnthly'!$A:$A,'PnL Mnthly'!$A16,'TB Mnthly'!I:I)</f>
        <v/>
      </c>
      <c r="I16" s="698">
        <f>-SUMIF('TB Mnthly'!$A:$A,'PnL Mnthly'!$A16,'TB Mnthly'!J:J)</f>
        <v/>
      </c>
      <c r="J16" s="698">
        <f>-SUMIF('TB Mnthly'!$A:$A,'PnL Mnthly'!$A16,'TB Mnthly'!K:K)</f>
        <v/>
      </c>
      <c r="K16" s="698">
        <f>-SUMIF('TB Mnthly'!$A:$A,'PnL Mnthly'!$A16,'TB Mnthly'!L:L)</f>
        <v/>
      </c>
      <c r="L16" s="698">
        <f>-SUMIF('TB Mnthly'!$A:$A,'PnL Mnthly'!$A16,'TB Mnthly'!M:M)</f>
        <v/>
      </c>
      <c r="M16" s="698">
        <f>-SUMIF('TB Mnthly'!$A:$A,'PnL Mnthly'!$A16,'TB Mnthly'!N:N)</f>
        <v/>
      </c>
      <c r="N16" s="698">
        <f>-SUMIF('TB Mnthly'!$A:$A,'PnL Mnthly'!$A16,'TB Mnthly'!O:O)</f>
        <v/>
      </c>
      <c r="O16" s="699">
        <f>SUM(B16:N16)</f>
        <v/>
      </c>
      <c r="P16" s="700" t="n"/>
      <c r="Q16" s="698">
        <f>-SUMIF('TB Mnthly'!$A:$A,'PnL Mnthly'!$A16,'TB Mnthly'!R:R)</f>
        <v/>
      </c>
      <c r="R16" s="698">
        <f>-SUMIF('TB Mnthly'!$A:$A,'PnL Mnthly'!$A16,'TB Mnthly'!S:S)</f>
        <v/>
      </c>
      <c r="S16" s="698">
        <f>-SUMIF('TB Mnthly'!$A:$A,'PnL Mnthly'!$A16,'TB Mnthly'!T:T)</f>
        <v/>
      </c>
      <c r="T16" s="698">
        <f>-SUMIF('TB Mnthly'!$A:$A,'PnL Mnthly'!$A16,'TB Mnthly'!U:U)</f>
        <v/>
      </c>
      <c r="U16" s="698">
        <f>-SUMIF('TB Mnthly'!$A:$A,'PnL Mnthly'!$A16,'TB Mnthly'!V:V)</f>
        <v/>
      </c>
      <c r="V16" s="698">
        <f>-SUMIF('TB Mnthly'!$A:$A,'PnL Mnthly'!$A16,'TB Mnthly'!W:W)</f>
        <v/>
      </c>
      <c r="W16" s="698">
        <f>-SUMIF('TB Mnthly'!$A:$A,'PnL Mnthly'!$A16,'TB Mnthly'!X:X)</f>
        <v/>
      </c>
      <c r="X16" s="698">
        <f>-SUMIF('TB Mnthly'!$A:$A,'PnL Mnthly'!$A16,'TB Mnthly'!Y:Y)</f>
        <v/>
      </c>
      <c r="Y16" s="698">
        <f>-SUMIF('TB Mnthly'!$A:$A,'PnL Mnthly'!$A16,'TB Mnthly'!Z:Z)</f>
        <v/>
      </c>
      <c r="Z16" s="698">
        <f>-SUMIF('TB Mnthly'!$A:$A,'PnL Mnthly'!$A16,'TB Mnthly'!AA:AA)</f>
        <v/>
      </c>
      <c r="AA16" s="698">
        <f>-SUMIF('TB Mnthly'!$A:$A,'PnL Mnthly'!$A16,'TB Mnthly'!AB:AB)</f>
        <v/>
      </c>
      <c r="AB16" s="698">
        <f>-SUMIF('TB Mnthly'!$A:$A,'PnL Mnthly'!$A16,'TB Mnthly'!AC:AC)</f>
        <v/>
      </c>
      <c r="AC16" s="699">
        <f>SUM(P16:AB16)</f>
        <v/>
      </c>
      <c r="AD16" s="701" t="n"/>
      <c r="AE16" s="698">
        <f>-SUMIF('TB Mnthly'!$A:$A,'PnL Mnthly'!$A16,'TB Mnthly'!AF:AF)</f>
        <v/>
      </c>
      <c r="AF16" s="698">
        <f>-SUMIF('TB Mnthly'!$A:$A,'PnL Mnthly'!$A16,'TB Mnthly'!AG:AG)</f>
        <v/>
      </c>
      <c r="AG16" s="698">
        <f>-SUMIF('TB Mnthly'!$A:$A,'PnL Mnthly'!$A16,'TB Mnthly'!AH:AH)</f>
        <v/>
      </c>
      <c r="AH16" s="698">
        <f>-SUMIF('TB Mnthly'!$A:$A,'PnL Mnthly'!$A16,'TB Mnthly'!AI:AI)</f>
        <v/>
      </c>
      <c r="AI16" s="698">
        <f>-SUMIF('TB Mnthly'!$A:$A,'PnL Mnthly'!$A16,'TB Mnthly'!AJ:AJ)</f>
        <v/>
      </c>
      <c r="AJ16" s="698">
        <f>-SUMIF('TB Mnthly'!$A:$A,'PnL Mnthly'!$A16,'TB Mnthly'!AK:AK)</f>
        <v/>
      </c>
      <c r="AK16" s="698">
        <f>-SUMIF('TB Mnthly'!$A:$A,'PnL Mnthly'!$A16,'TB Mnthly'!AL:AL)</f>
        <v/>
      </c>
      <c r="AL16" s="698">
        <f>-SUMIF('TB Mnthly'!$A:$A,'PnL Mnthly'!$A16,'TB Mnthly'!AM:AM)</f>
        <v/>
      </c>
      <c r="AM16" s="698">
        <f>-SUMIF('TB Mnthly'!$A:$A,'PnL Mnthly'!$A16,'TB Mnthly'!AN:AN)</f>
        <v/>
      </c>
      <c r="AN16" s="698">
        <f>-SUMIF('TB Mnthly'!$A:$A,'PnL Mnthly'!$A16,'TB Mnthly'!AO:AO)</f>
        <v/>
      </c>
      <c r="AO16" s="698">
        <f>-SUMIF('TB Mnthly'!$A:$A,'PnL Mnthly'!$A16,'TB Mnthly'!AP:AP)</f>
        <v/>
      </c>
      <c r="AP16" s="698">
        <f>-SUMIF('TB Mnthly'!$A:$A,'PnL Mnthly'!$A16,'TB Mnthly'!AQ:AQ)</f>
        <v/>
      </c>
      <c r="AQ16" s="699">
        <f>SUM(AD16:AP16)</f>
        <v/>
      </c>
      <c r="AR16" s="699" t="n"/>
      <c r="AS16" s="698">
        <f>-SUMIF('TB Mnthly'!$A:$A,'PnL Mnthly'!$A16,'TB Mnthly'!AT:AT)</f>
        <v/>
      </c>
      <c r="AT16" s="698">
        <f>-SUMIF('TB Mnthly'!$A:$A,'PnL Mnthly'!$A16,'TB Mnthly'!AU:AU)</f>
        <v/>
      </c>
      <c r="AU16" s="698">
        <f>-SUMIF('TB Mnthly'!$A:$A,'PnL Mnthly'!$A16,'TB Mnthly'!AV:AV)</f>
        <v/>
      </c>
      <c r="AV16" s="698">
        <f>-SUMIF('TB Mnthly'!$A:$A,'PnL Mnthly'!$A16,'TB Mnthly'!AW:AW)</f>
        <v/>
      </c>
      <c r="AW16" s="698">
        <f>-SUMIF('TB Mnthly'!$A:$A,'PnL Mnthly'!$A16,'TB Mnthly'!AX:AX)</f>
        <v/>
      </c>
      <c r="AX16" s="698">
        <f>-SUMIF('TB Mnthly'!$A:$A,'PnL Mnthly'!$A16,'TB Mnthly'!AY:AY)</f>
        <v/>
      </c>
      <c r="AY16" s="698">
        <f>-SUMIF('TB Mnthly'!$A:$A,'PnL Mnthly'!$A16,'TB Mnthly'!AZ:AZ)</f>
        <v/>
      </c>
      <c r="AZ16" s="698">
        <f>-SUMIF('TB Mnthly'!$A:$A,'PnL Mnthly'!$A16,'TB Mnthly'!BA:BA)</f>
        <v/>
      </c>
      <c r="BA16" s="698">
        <f>-SUMIF('TB Mnthly'!$A:$A,'PnL Mnthly'!$A16,'TB Mnthly'!BB:BB)</f>
        <v/>
      </c>
      <c r="BB16" s="698">
        <f>-SUMIF('TB Mnthly'!$A:$A,'PnL Mnthly'!$A16,'TB Mnthly'!BC:BC)</f>
        <v/>
      </c>
      <c r="BC16" s="698">
        <f>-SUMIF('TB Mnthly'!$A:$A,'PnL Mnthly'!$A16,'TB Mnthly'!BD:BD)</f>
        <v/>
      </c>
      <c r="BD16" s="698">
        <f>-SUMIF('TB Mnthly'!$A:$A,'PnL Mnthly'!$A16,'TB Mnthly'!BE:BE)</f>
        <v/>
      </c>
      <c r="BE16" s="699">
        <f>SUM(AR16:BD16)</f>
        <v/>
      </c>
      <c r="BF16" s="699" t="n"/>
      <c r="BG16" s="698">
        <f>-SUMIF('TB Mnthly'!$A:$A,'PnL Mnthly'!$A16,'TB Mnthly'!BH:BH)</f>
        <v/>
      </c>
      <c r="BH16" s="698">
        <f>-SUMIF('TB Mnthly'!$A:$A,'PnL Mnthly'!$A16,'TB Mnthly'!BI:BI)</f>
        <v/>
      </c>
      <c r="BI16" s="698">
        <f>-SUMIF('TB Mnthly'!$A:$A,'PnL Mnthly'!$A16,'TB Mnthly'!BJ:BJ)</f>
        <v/>
      </c>
      <c r="BJ16" s="698">
        <f>-SUMIF('TB Mnthly'!$A:$A,'PnL Mnthly'!$A16,'TB Mnthly'!BK:BK)</f>
        <v/>
      </c>
      <c r="BK16" s="698">
        <f>-SUMIF('TB Mnthly'!$A:$A,'PnL Mnthly'!$A16,'TB Mnthly'!BL:BL)</f>
        <v/>
      </c>
      <c r="BL16" s="698">
        <f>-SUMIF('TB Mnthly'!$A:$A,'PnL Mnthly'!$A16,'TB Mnthly'!BM:BM)</f>
        <v/>
      </c>
      <c r="BM16" s="698">
        <f>-SUMIF('TB Mnthly'!$A:$A,'PnL Mnthly'!$A16,'TB Mnthly'!BN:BN)</f>
        <v/>
      </c>
      <c r="BN16" s="698">
        <f>-SUMIF('TB Mnthly'!$A:$A,'PnL Mnthly'!$A16,'TB Mnthly'!BO:BO)</f>
        <v/>
      </c>
      <c r="BO16" s="698">
        <f>-SUMIF('TB Mnthly'!$A:$A,'PnL Mnthly'!$A16,'TB Mnthly'!BP:BP)</f>
        <v/>
      </c>
      <c r="BP16" s="698">
        <f>-SUMIF('TB Mnthly'!$A:$A,'PnL Mnthly'!$A16,'TB Mnthly'!BQ:BQ)</f>
        <v/>
      </c>
      <c r="BQ16" s="698">
        <f>-SUMIF('TB Mnthly'!$A:$A,'PnL Mnthly'!$A16,'TB Mnthly'!BR:BR)</f>
        <v/>
      </c>
      <c r="BR16" s="698">
        <f>-SUMIF('TB Mnthly'!$A:$A,'PnL Mnthly'!$A16,'TB Mnthly'!BS:BS)</f>
        <v/>
      </c>
      <c r="BS16" s="699">
        <f>SUM(BF16:BR16)</f>
        <v/>
      </c>
    </row>
    <row r="17">
      <c r="A17" s="697">
        <f>Calc!A14</f>
        <v/>
      </c>
      <c r="B17" s="698">
        <f>-SUMIF('TB Mnthly'!$A:$A,'PnL Mnthly'!$A17,'TB Mnthly'!C:C)</f>
        <v/>
      </c>
      <c r="C17" s="698">
        <f>-SUMIF('TB Mnthly'!$A:$A,'PnL Mnthly'!$A17,'TB Mnthly'!D:D)</f>
        <v/>
      </c>
      <c r="D17" s="698">
        <f>-SUMIF('TB Mnthly'!$A:$A,'PnL Mnthly'!$A17,'TB Mnthly'!E:E)</f>
        <v/>
      </c>
      <c r="E17" s="698">
        <f>-SUMIF('TB Mnthly'!$A:$A,'PnL Mnthly'!$A17,'TB Mnthly'!F:F)</f>
        <v/>
      </c>
      <c r="F17" s="698">
        <f>-SUMIF('TB Mnthly'!$A:$A,'PnL Mnthly'!$A17,'TB Mnthly'!G:G)</f>
        <v/>
      </c>
      <c r="G17" s="698">
        <f>-SUMIF('TB Mnthly'!$A:$A,'PnL Mnthly'!$A17,'TB Mnthly'!H:H)</f>
        <v/>
      </c>
      <c r="H17" s="698">
        <f>-SUMIF('TB Mnthly'!$A:$A,'PnL Mnthly'!$A17,'TB Mnthly'!I:I)</f>
        <v/>
      </c>
      <c r="I17" s="698">
        <f>-SUMIF('TB Mnthly'!$A:$A,'PnL Mnthly'!$A17,'TB Mnthly'!J:J)</f>
        <v/>
      </c>
      <c r="J17" s="698">
        <f>-SUMIF('TB Mnthly'!$A:$A,'PnL Mnthly'!$A17,'TB Mnthly'!K:K)</f>
        <v/>
      </c>
      <c r="K17" s="698">
        <f>-SUMIF('TB Mnthly'!$A:$A,'PnL Mnthly'!$A17,'TB Mnthly'!L:L)</f>
        <v/>
      </c>
      <c r="L17" s="698">
        <f>-SUMIF('TB Mnthly'!$A:$A,'PnL Mnthly'!$A17,'TB Mnthly'!M:M)</f>
        <v/>
      </c>
      <c r="M17" s="698">
        <f>-SUMIF('TB Mnthly'!$A:$A,'PnL Mnthly'!$A17,'TB Mnthly'!N:N)</f>
        <v/>
      </c>
      <c r="N17" s="698">
        <f>-SUMIF('TB Mnthly'!$A:$A,'PnL Mnthly'!$A17,'TB Mnthly'!O:O)</f>
        <v/>
      </c>
      <c r="O17" s="699">
        <f>SUM(B17:N17)</f>
        <v/>
      </c>
      <c r="P17" s="700" t="n"/>
      <c r="Q17" s="698">
        <f>-SUMIF('TB Mnthly'!$A:$A,'PnL Mnthly'!$A17,'TB Mnthly'!R:R)</f>
        <v/>
      </c>
      <c r="R17" s="698">
        <f>-SUMIF('TB Mnthly'!$A:$A,'PnL Mnthly'!$A17,'TB Mnthly'!S:S)</f>
        <v/>
      </c>
      <c r="S17" s="698">
        <f>-SUMIF('TB Mnthly'!$A:$A,'PnL Mnthly'!$A17,'TB Mnthly'!T:T)</f>
        <v/>
      </c>
      <c r="T17" s="698">
        <f>-SUMIF('TB Mnthly'!$A:$A,'PnL Mnthly'!$A17,'TB Mnthly'!U:U)</f>
        <v/>
      </c>
      <c r="U17" s="698">
        <f>-SUMIF('TB Mnthly'!$A:$A,'PnL Mnthly'!$A17,'TB Mnthly'!V:V)</f>
        <v/>
      </c>
      <c r="V17" s="698">
        <f>-SUMIF('TB Mnthly'!$A:$A,'PnL Mnthly'!$A17,'TB Mnthly'!W:W)</f>
        <v/>
      </c>
      <c r="W17" s="698">
        <f>-SUMIF('TB Mnthly'!$A:$A,'PnL Mnthly'!$A17,'TB Mnthly'!X:X)</f>
        <v/>
      </c>
      <c r="X17" s="698">
        <f>-SUMIF('TB Mnthly'!$A:$A,'PnL Mnthly'!$A17,'TB Mnthly'!Y:Y)</f>
        <v/>
      </c>
      <c r="Y17" s="698">
        <f>-SUMIF('TB Mnthly'!$A:$A,'PnL Mnthly'!$A17,'TB Mnthly'!Z:Z)</f>
        <v/>
      </c>
      <c r="Z17" s="698">
        <f>-SUMIF('TB Mnthly'!$A:$A,'PnL Mnthly'!$A17,'TB Mnthly'!AA:AA)</f>
        <v/>
      </c>
      <c r="AA17" s="698">
        <f>-SUMIF('TB Mnthly'!$A:$A,'PnL Mnthly'!$A17,'TB Mnthly'!AB:AB)</f>
        <v/>
      </c>
      <c r="AB17" s="698">
        <f>-SUMIF('TB Mnthly'!$A:$A,'PnL Mnthly'!$A17,'TB Mnthly'!AC:AC)</f>
        <v/>
      </c>
      <c r="AC17" s="699">
        <f>SUM(P17:AB17)</f>
        <v/>
      </c>
      <c r="AD17" s="701" t="n"/>
      <c r="AE17" s="698">
        <f>-SUMIF('TB Mnthly'!$A:$A,'PnL Mnthly'!$A17,'TB Mnthly'!AF:AF)</f>
        <v/>
      </c>
      <c r="AF17" s="698">
        <f>-SUMIF('TB Mnthly'!$A:$A,'PnL Mnthly'!$A17,'TB Mnthly'!AG:AG)</f>
        <v/>
      </c>
      <c r="AG17" s="698">
        <f>-SUMIF('TB Mnthly'!$A:$A,'PnL Mnthly'!$A17,'TB Mnthly'!AH:AH)</f>
        <v/>
      </c>
      <c r="AH17" s="698">
        <f>-SUMIF('TB Mnthly'!$A:$A,'PnL Mnthly'!$A17,'TB Mnthly'!AI:AI)</f>
        <v/>
      </c>
      <c r="AI17" s="698">
        <f>-SUMIF('TB Mnthly'!$A:$A,'PnL Mnthly'!$A17,'TB Mnthly'!AJ:AJ)</f>
        <v/>
      </c>
      <c r="AJ17" s="698">
        <f>-SUMIF('TB Mnthly'!$A:$A,'PnL Mnthly'!$A17,'TB Mnthly'!AK:AK)</f>
        <v/>
      </c>
      <c r="AK17" s="698">
        <f>-SUMIF('TB Mnthly'!$A:$A,'PnL Mnthly'!$A17,'TB Mnthly'!AL:AL)</f>
        <v/>
      </c>
      <c r="AL17" s="698">
        <f>-SUMIF('TB Mnthly'!$A:$A,'PnL Mnthly'!$A17,'TB Mnthly'!AM:AM)</f>
        <v/>
      </c>
      <c r="AM17" s="698">
        <f>-SUMIF('TB Mnthly'!$A:$A,'PnL Mnthly'!$A17,'TB Mnthly'!AN:AN)</f>
        <v/>
      </c>
      <c r="AN17" s="698">
        <f>-SUMIF('TB Mnthly'!$A:$A,'PnL Mnthly'!$A17,'TB Mnthly'!AO:AO)</f>
        <v/>
      </c>
      <c r="AO17" s="698">
        <f>-SUMIF('TB Mnthly'!$A:$A,'PnL Mnthly'!$A17,'TB Mnthly'!AP:AP)</f>
        <v/>
      </c>
      <c r="AP17" s="698">
        <f>-SUMIF('TB Mnthly'!$A:$A,'PnL Mnthly'!$A17,'TB Mnthly'!AQ:AQ)</f>
        <v/>
      </c>
      <c r="AQ17" s="699">
        <f>SUM(AD17:AP17)</f>
        <v/>
      </c>
      <c r="AR17" s="699" t="n"/>
      <c r="AS17" s="698">
        <f>-SUMIF('TB Mnthly'!$A:$A,'PnL Mnthly'!$A17,'TB Mnthly'!AT:AT)</f>
        <v/>
      </c>
      <c r="AT17" s="698">
        <f>-SUMIF('TB Mnthly'!$A:$A,'PnL Mnthly'!$A17,'TB Mnthly'!AU:AU)</f>
        <v/>
      </c>
      <c r="AU17" s="698">
        <f>-SUMIF('TB Mnthly'!$A:$A,'PnL Mnthly'!$A17,'TB Mnthly'!AV:AV)</f>
        <v/>
      </c>
      <c r="AV17" s="698">
        <f>-SUMIF('TB Mnthly'!$A:$A,'PnL Mnthly'!$A17,'TB Mnthly'!AW:AW)</f>
        <v/>
      </c>
      <c r="AW17" s="698">
        <f>-SUMIF('TB Mnthly'!$A:$A,'PnL Mnthly'!$A17,'TB Mnthly'!AX:AX)</f>
        <v/>
      </c>
      <c r="AX17" s="698">
        <f>-SUMIF('TB Mnthly'!$A:$A,'PnL Mnthly'!$A17,'TB Mnthly'!AY:AY)</f>
        <v/>
      </c>
      <c r="AY17" s="698">
        <f>-SUMIF('TB Mnthly'!$A:$A,'PnL Mnthly'!$A17,'TB Mnthly'!AZ:AZ)</f>
        <v/>
      </c>
      <c r="AZ17" s="698">
        <f>-SUMIF('TB Mnthly'!$A:$A,'PnL Mnthly'!$A17,'TB Mnthly'!BA:BA)</f>
        <v/>
      </c>
      <c r="BA17" s="698">
        <f>-SUMIF('TB Mnthly'!$A:$A,'PnL Mnthly'!$A17,'TB Mnthly'!BB:BB)</f>
        <v/>
      </c>
      <c r="BB17" s="698">
        <f>-SUMIF('TB Mnthly'!$A:$A,'PnL Mnthly'!$A17,'TB Mnthly'!BC:BC)</f>
        <v/>
      </c>
      <c r="BC17" s="698">
        <f>-SUMIF('TB Mnthly'!$A:$A,'PnL Mnthly'!$A17,'TB Mnthly'!BD:BD)</f>
        <v/>
      </c>
      <c r="BD17" s="698">
        <f>-SUMIF('TB Mnthly'!$A:$A,'PnL Mnthly'!$A17,'TB Mnthly'!BE:BE)</f>
        <v/>
      </c>
      <c r="BE17" s="699">
        <f>SUM(AR17:BD17)</f>
        <v/>
      </c>
      <c r="BF17" s="699" t="n"/>
      <c r="BG17" s="698">
        <f>-SUMIF('TB Mnthly'!$A:$A,'PnL Mnthly'!$A17,'TB Mnthly'!BH:BH)</f>
        <v/>
      </c>
      <c r="BH17" s="698">
        <f>-SUMIF('TB Mnthly'!$A:$A,'PnL Mnthly'!$A17,'TB Mnthly'!BI:BI)</f>
        <v/>
      </c>
      <c r="BI17" s="698">
        <f>-SUMIF('TB Mnthly'!$A:$A,'PnL Mnthly'!$A17,'TB Mnthly'!BJ:BJ)</f>
        <v/>
      </c>
      <c r="BJ17" s="698">
        <f>-SUMIF('TB Mnthly'!$A:$A,'PnL Mnthly'!$A17,'TB Mnthly'!BK:BK)</f>
        <v/>
      </c>
      <c r="BK17" s="698">
        <f>-SUMIF('TB Mnthly'!$A:$A,'PnL Mnthly'!$A17,'TB Mnthly'!BL:BL)</f>
        <v/>
      </c>
      <c r="BL17" s="698">
        <f>-SUMIF('TB Mnthly'!$A:$A,'PnL Mnthly'!$A17,'TB Mnthly'!BM:BM)</f>
        <v/>
      </c>
      <c r="BM17" s="698">
        <f>-SUMIF('TB Mnthly'!$A:$A,'PnL Mnthly'!$A17,'TB Mnthly'!BN:BN)</f>
        <v/>
      </c>
      <c r="BN17" s="698">
        <f>-SUMIF('TB Mnthly'!$A:$A,'PnL Mnthly'!$A17,'TB Mnthly'!BO:BO)</f>
        <v/>
      </c>
      <c r="BO17" s="698">
        <f>-SUMIF('TB Mnthly'!$A:$A,'PnL Mnthly'!$A17,'TB Mnthly'!BP:BP)</f>
        <v/>
      </c>
      <c r="BP17" s="698">
        <f>-SUMIF('TB Mnthly'!$A:$A,'PnL Mnthly'!$A17,'TB Mnthly'!BQ:BQ)</f>
        <v/>
      </c>
      <c r="BQ17" s="698">
        <f>-SUMIF('TB Mnthly'!$A:$A,'PnL Mnthly'!$A17,'TB Mnthly'!BR:BR)</f>
        <v/>
      </c>
      <c r="BR17" s="698">
        <f>-SUMIF('TB Mnthly'!$A:$A,'PnL Mnthly'!$A17,'TB Mnthly'!BS:BS)</f>
        <v/>
      </c>
      <c r="BS17" s="699">
        <f>SUM(BF17:BR17)</f>
        <v/>
      </c>
    </row>
    <row r="18">
      <c r="A18" s="697">
        <f>Calc!A15</f>
        <v/>
      </c>
      <c r="B18" s="698">
        <f>-SUMIF('TB Mnthly'!$A:$A,'PnL Mnthly'!$A18,'TB Mnthly'!C:C)</f>
        <v/>
      </c>
      <c r="C18" s="698">
        <f>-SUMIF('TB Mnthly'!$A:$A,'PnL Mnthly'!$A18,'TB Mnthly'!D:D)</f>
        <v/>
      </c>
      <c r="D18" s="698">
        <f>-SUMIF('TB Mnthly'!$A:$A,'PnL Mnthly'!$A18,'TB Mnthly'!E:E)</f>
        <v/>
      </c>
      <c r="E18" s="698">
        <f>-SUMIF('TB Mnthly'!$A:$A,'PnL Mnthly'!$A18,'TB Mnthly'!F:F)</f>
        <v/>
      </c>
      <c r="F18" s="698">
        <f>-SUMIF('TB Mnthly'!$A:$A,'PnL Mnthly'!$A18,'TB Mnthly'!G:G)</f>
        <v/>
      </c>
      <c r="G18" s="698">
        <f>-SUMIF('TB Mnthly'!$A:$A,'PnL Mnthly'!$A18,'TB Mnthly'!H:H)</f>
        <v/>
      </c>
      <c r="H18" s="698">
        <f>-SUMIF('TB Mnthly'!$A:$A,'PnL Mnthly'!$A18,'TB Mnthly'!I:I)</f>
        <v/>
      </c>
      <c r="I18" s="698">
        <f>-SUMIF('TB Mnthly'!$A:$A,'PnL Mnthly'!$A18,'TB Mnthly'!J:J)</f>
        <v/>
      </c>
      <c r="J18" s="698">
        <f>-SUMIF('TB Mnthly'!$A:$A,'PnL Mnthly'!$A18,'TB Mnthly'!K:K)</f>
        <v/>
      </c>
      <c r="K18" s="698">
        <f>-SUMIF('TB Mnthly'!$A:$A,'PnL Mnthly'!$A18,'TB Mnthly'!L:L)</f>
        <v/>
      </c>
      <c r="L18" s="698">
        <f>-SUMIF('TB Mnthly'!$A:$A,'PnL Mnthly'!$A18,'TB Mnthly'!M:M)</f>
        <v/>
      </c>
      <c r="M18" s="698">
        <f>-SUMIF('TB Mnthly'!$A:$A,'PnL Mnthly'!$A18,'TB Mnthly'!N:N)</f>
        <v/>
      </c>
      <c r="N18" s="698">
        <f>-SUMIF('TB Mnthly'!$A:$A,'PnL Mnthly'!$A18,'TB Mnthly'!O:O)</f>
        <v/>
      </c>
      <c r="O18" s="699">
        <f>SUM(B18:N18)</f>
        <v/>
      </c>
      <c r="P18" s="700" t="n"/>
      <c r="Q18" s="698">
        <f>-SUMIF('TB Mnthly'!$A:$A,'PnL Mnthly'!$A18,'TB Mnthly'!R:R)</f>
        <v/>
      </c>
      <c r="R18" s="698">
        <f>-SUMIF('TB Mnthly'!$A:$A,'PnL Mnthly'!$A18,'TB Mnthly'!S:S)</f>
        <v/>
      </c>
      <c r="S18" s="698">
        <f>-SUMIF('TB Mnthly'!$A:$A,'PnL Mnthly'!$A18,'TB Mnthly'!T:T)</f>
        <v/>
      </c>
      <c r="T18" s="698">
        <f>-SUMIF('TB Mnthly'!$A:$A,'PnL Mnthly'!$A18,'TB Mnthly'!U:U)</f>
        <v/>
      </c>
      <c r="U18" s="698">
        <f>-SUMIF('TB Mnthly'!$A:$A,'PnL Mnthly'!$A18,'TB Mnthly'!V:V)</f>
        <v/>
      </c>
      <c r="V18" s="698">
        <f>-SUMIF('TB Mnthly'!$A:$A,'PnL Mnthly'!$A18,'TB Mnthly'!W:W)</f>
        <v/>
      </c>
      <c r="W18" s="698">
        <f>-SUMIF('TB Mnthly'!$A:$A,'PnL Mnthly'!$A18,'TB Mnthly'!X:X)</f>
        <v/>
      </c>
      <c r="X18" s="698">
        <f>-SUMIF('TB Mnthly'!$A:$A,'PnL Mnthly'!$A18,'TB Mnthly'!Y:Y)</f>
        <v/>
      </c>
      <c r="Y18" s="698">
        <f>-SUMIF('TB Mnthly'!$A:$A,'PnL Mnthly'!$A18,'TB Mnthly'!Z:Z)</f>
        <v/>
      </c>
      <c r="Z18" s="698">
        <f>-SUMIF('TB Mnthly'!$A:$A,'PnL Mnthly'!$A18,'TB Mnthly'!AA:AA)</f>
        <v/>
      </c>
      <c r="AA18" s="698">
        <f>-SUMIF('TB Mnthly'!$A:$A,'PnL Mnthly'!$A18,'TB Mnthly'!AB:AB)</f>
        <v/>
      </c>
      <c r="AB18" s="698">
        <f>-SUMIF('TB Mnthly'!$A:$A,'PnL Mnthly'!$A18,'TB Mnthly'!AC:AC)</f>
        <v/>
      </c>
      <c r="AC18" s="699">
        <f>SUM(P18:AB18)</f>
        <v/>
      </c>
      <c r="AD18" s="701" t="n"/>
      <c r="AE18" s="698">
        <f>-SUMIF('TB Mnthly'!$A:$A,'PnL Mnthly'!$A18,'TB Mnthly'!AF:AF)</f>
        <v/>
      </c>
      <c r="AF18" s="698">
        <f>-SUMIF('TB Mnthly'!$A:$A,'PnL Mnthly'!$A18,'TB Mnthly'!AG:AG)</f>
        <v/>
      </c>
      <c r="AG18" s="698">
        <f>-SUMIF('TB Mnthly'!$A:$A,'PnL Mnthly'!$A18,'TB Mnthly'!AH:AH)</f>
        <v/>
      </c>
      <c r="AH18" s="698">
        <f>-SUMIF('TB Mnthly'!$A:$A,'PnL Mnthly'!$A18,'TB Mnthly'!AI:AI)</f>
        <v/>
      </c>
      <c r="AI18" s="698">
        <f>-SUMIF('TB Mnthly'!$A:$A,'PnL Mnthly'!$A18,'TB Mnthly'!AJ:AJ)</f>
        <v/>
      </c>
      <c r="AJ18" s="698">
        <f>-SUMIF('TB Mnthly'!$A:$A,'PnL Mnthly'!$A18,'TB Mnthly'!AK:AK)</f>
        <v/>
      </c>
      <c r="AK18" s="698">
        <f>-SUMIF('TB Mnthly'!$A:$A,'PnL Mnthly'!$A18,'TB Mnthly'!AL:AL)</f>
        <v/>
      </c>
      <c r="AL18" s="698">
        <f>-SUMIF('TB Mnthly'!$A:$A,'PnL Mnthly'!$A18,'TB Mnthly'!AM:AM)</f>
        <v/>
      </c>
      <c r="AM18" s="698">
        <f>-SUMIF('TB Mnthly'!$A:$A,'PnL Mnthly'!$A18,'TB Mnthly'!AN:AN)</f>
        <v/>
      </c>
      <c r="AN18" s="698">
        <f>-SUMIF('TB Mnthly'!$A:$A,'PnL Mnthly'!$A18,'TB Mnthly'!AO:AO)</f>
        <v/>
      </c>
      <c r="AO18" s="698">
        <f>-SUMIF('TB Mnthly'!$A:$A,'PnL Mnthly'!$A18,'TB Mnthly'!AP:AP)</f>
        <v/>
      </c>
      <c r="AP18" s="698">
        <f>-SUMIF('TB Mnthly'!$A:$A,'PnL Mnthly'!$A18,'TB Mnthly'!AQ:AQ)</f>
        <v/>
      </c>
      <c r="AQ18" s="699">
        <f>SUM(AD18:AP18)</f>
        <v/>
      </c>
      <c r="AR18" s="699" t="n"/>
      <c r="AS18" s="698">
        <f>-SUMIF('TB Mnthly'!$A:$A,'PnL Mnthly'!$A18,'TB Mnthly'!AT:AT)</f>
        <v/>
      </c>
      <c r="AT18" s="698">
        <f>-SUMIF('TB Mnthly'!$A:$A,'PnL Mnthly'!$A18,'TB Mnthly'!AU:AU)</f>
        <v/>
      </c>
      <c r="AU18" s="698">
        <f>-SUMIF('TB Mnthly'!$A:$A,'PnL Mnthly'!$A18,'TB Mnthly'!AV:AV)</f>
        <v/>
      </c>
      <c r="AV18" s="698">
        <f>-SUMIF('TB Mnthly'!$A:$A,'PnL Mnthly'!$A18,'TB Mnthly'!AW:AW)</f>
        <v/>
      </c>
      <c r="AW18" s="698">
        <f>-SUMIF('TB Mnthly'!$A:$A,'PnL Mnthly'!$A18,'TB Mnthly'!AX:AX)</f>
        <v/>
      </c>
      <c r="AX18" s="698">
        <f>-SUMIF('TB Mnthly'!$A:$A,'PnL Mnthly'!$A18,'TB Mnthly'!AY:AY)</f>
        <v/>
      </c>
      <c r="AY18" s="698">
        <f>-SUMIF('TB Mnthly'!$A:$A,'PnL Mnthly'!$A18,'TB Mnthly'!AZ:AZ)</f>
        <v/>
      </c>
      <c r="AZ18" s="698">
        <f>-SUMIF('TB Mnthly'!$A:$A,'PnL Mnthly'!$A18,'TB Mnthly'!BA:BA)</f>
        <v/>
      </c>
      <c r="BA18" s="698">
        <f>-SUMIF('TB Mnthly'!$A:$A,'PnL Mnthly'!$A18,'TB Mnthly'!BB:BB)</f>
        <v/>
      </c>
      <c r="BB18" s="698">
        <f>-SUMIF('TB Mnthly'!$A:$A,'PnL Mnthly'!$A18,'TB Mnthly'!BC:BC)</f>
        <v/>
      </c>
      <c r="BC18" s="698">
        <f>-SUMIF('TB Mnthly'!$A:$A,'PnL Mnthly'!$A18,'TB Mnthly'!BD:BD)</f>
        <v/>
      </c>
      <c r="BD18" s="698">
        <f>-SUMIF('TB Mnthly'!$A:$A,'PnL Mnthly'!$A18,'TB Mnthly'!BE:BE)</f>
        <v/>
      </c>
      <c r="BE18" s="699">
        <f>SUM(AR18:BD18)</f>
        <v/>
      </c>
      <c r="BF18" s="699" t="n"/>
      <c r="BG18" s="698">
        <f>-SUMIF('TB Mnthly'!$A:$A,'PnL Mnthly'!$A18,'TB Mnthly'!BH:BH)</f>
        <v/>
      </c>
      <c r="BH18" s="698">
        <f>-SUMIF('TB Mnthly'!$A:$A,'PnL Mnthly'!$A18,'TB Mnthly'!BI:BI)</f>
        <v/>
      </c>
      <c r="BI18" s="698">
        <f>-SUMIF('TB Mnthly'!$A:$A,'PnL Mnthly'!$A18,'TB Mnthly'!BJ:BJ)</f>
        <v/>
      </c>
      <c r="BJ18" s="698">
        <f>-SUMIF('TB Mnthly'!$A:$A,'PnL Mnthly'!$A18,'TB Mnthly'!BK:BK)</f>
        <v/>
      </c>
      <c r="BK18" s="698">
        <f>-SUMIF('TB Mnthly'!$A:$A,'PnL Mnthly'!$A18,'TB Mnthly'!BL:BL)</f>
        <v/>
      </c>
      <c r="BL18" s="698">
        <f>-SUMIF('TB Mnthly'!$A:$A,'PnL Mnthly'!$A18,'TB Mnthly'!BM:BM)</f>
        <v/>
      </c>
      <c r="BM18" s="698">
        <f>-SUMIF('TB Mnthly'!$A:$A,'PnL Mnthly'!$A18,'TB Mnthly'!BN:BN)</f>
        <v/>
      </c>
      <c r="BN18" s="698">
        <f>-SUMIF('TB Mnthly'!$A:$A,'PnL Mnthly'!$A18,'TB Mnthly'!BO:BO)</f>
        <v/>
      </c>
      <c r="BO18" s="698">
        <f>-SUMIF('TB Mnthly'!$A:$A,'PnL Mnthly'!$A18,'TB Mnthly'!BP:BP)</f>
        <v/>
      </c>
      <c r="BP18" s="698">
        <f>-SUMIF('TB Mnthly'!$A:$A,'PnL Mnthly'!$A18,'TB Mnthly'!BQ:BQ)</f>
        <v/>
      </c>
      <c r="BQ18" s="698">
        <f>-SUMIF('TB Mnthly'!$A:$A,'PnL Mnthly'!$A18,'TB Mnthly'!BR:BR)</f>
        <v/>
      </c>
      <c r="BR18" s="698">
        <f>-SUMIF('TB Mnthly'!$A:$A,'PnL Mnthly'!$A18,'TB Mnthly'!BS:BS)</f>
        <v/>
      </c>
      <c r="BS18" s="699">
        <f>SUM(BF18:BR18)</f>
        <v/>
      </c>
    </row>
    <row r="19">
      <c r="A19" s="697">
        <f>Calc!A16</f>
        <v/>
      </c>
      <c r="B19" s="698">
        <f>-SUMIF('TB Mnthly'!$A:$A,'PnL Mnthly'!$A19,'TB Mnthly'!C:C)</f>
        <v/>
      </c>
      <c r="C19" s="698">
        <f>-SUMIF('TB Mnthly'!$A:$A,'PnL Mnthly'!$A19,'TB Mnthly'!D:D)</f>
        <v/>
      </c>
      <c r="D19" s="698">
        <f>-SUMIF('TB Mnthly'!$A:$A,'PnL Mnthly'!$A19,'TB Mnthly'!E:E)</f>
        <v/>
      </c>
      <c r="E19" s="698">
        <f>-SUMIF('TB Mnthly'!$A:$A,'PnL Mnthly'!$A19,'TB Mnthly'!F:F)</f>
        <v/>
      </c>
      <c r="F19" s="698">
        <f>-SUMIF('TB Mnthly'!$A:$A,'PnL Mnthly'!$A19,'TB Mnthly'!G:G)</f>
        <v/>
      </c>
      <c r="G19" s="698">
        <f>-SUMIF('TB Mnthly'!$A:$A,'PnL Mnthly'!$A19,'TB Mnthly'!H:H)</f>
        <v/>
      </c>
      <c r="H19" s="698">
        <f>-SUMIF('TB Mnthly'!$A:$A,'PnL Mnthly'!$A19,'TB Mnthly'!I:I)</f>
        <v/>
      </c>
      <c r="I19" s="698">
        <f>-SUMIF('TB Mnthly'!$A:$A,'PnL Mnthly'!$A19,'TB Mnthly'!J:J)</f>
        <v/>
      </c>
      <c r="J19" s="698">
        <f>-SUMIF('TB Mnthly'!$A:$A,'PnL Mnthly'!$A19,'TB Mnthly'!K:K)</f>
        <v/>
      </c>
      <c r="K19" s="698">
        <f>-SUMIF('TB Mnthly'!$A:$A,'PnL Mnthly'!$A19,'TB Mnthly'!L:L)</f>
        <v/>
      </c>
      <c r="L19" s="698">
        <f>-SUMIF('TB Mnthly'!$A:$A,'PnL Mnthly'!$A19,'TB Mnthly'!M:M)</f>
        <v/>
      </c>
      <c r="M19" s="698">
        <f>-SUMIF('TB Mnthly'!$A:$A,'PnL Mnthly'!$A19,'TB Mnthly'!N:N)</f>
        <v/>
      </c>
      <c r="N19" s="698">
        <f>-SUMIF('TB Mnthly'!$A:$A,'PnL Mnthly'!$A19,'TB Mnthly'!O:O)</f>
        <v/>
      </c>
      <c r="O19" s="699">
        <f>SUM(B19:N19)</f>
        <v/>
      </c>
      <c r="P19" s="700" t="n"/>
      <c r="Q19" s="698">
        <f>-SUMIF('TB Mnthly'!$A:$A,'PnL Mnthly'!$A19,'TB Mnthly'!R:R)</f>
        <v/>
      </c>
      <c r="R19" s="698">
        <f>-SUMIF('TB Mnthly'!$A:$A,'PnL Mnthly'!$A19,'TB Mnthly'!S:S)</f>
        <v/>
      </c>
      <c r="S19" s="698">
        <f>-SUMIF('TB Mnthly'!$A:$A,'PnL Mnthly'!$A19,'TB Mnthly'!T:T)</f>
        <v/>
      </c>
      <c r="T19" s="698">
        <f>-SUMIF('TB Mnthly'!$A:$A,'PnL Mnthly'!$A19,'TB Mnthly'!U:U)</f>
        <v/>
      </c>
      <c r="U19" s="698">
        <f>-SUMIF('TB Mnthly'!$A:$A,'PnL Mnthly'!$A19,'TB Mnthly'!V:V)</f>
        <v/>
      </c>
      <c r="V19" s="698">
        <f>-SUMIF('TB Mnthly'!$A:$A,'PnL Mnthly'!$A19,'TB Mnthly'!W:W)</f>
        <v/>
      </c>
      <c r="W19" s="698">
        <f>-SUMIF('TB Mnthly'!$A:$A,'PnL Mnthly'!$A19,'TB Mnthly'!X:X)</f>
        <v/>
      </c>
      <c r="X19" s="698">
        <f>-SUMIF('TB Mnthly'!$A:$A,'PnL Mnthly'!$A19,'TB Mnthly'!Y:Y)</f>
        <v/>
      </c>
      <c r="Y19" s="698">
        <f>-SUMIF('TB Mnthly'!$A:$A,'PnL Mnthly'!$A19,'TB Mnthly'!Z:Z)</f>
        <v/>
      </c>
      <c r="Z19" s="698">
        <f>-SUMIF('TB Mnthly'!$A:$A,'PnL Mnthly'!$A19,'TB Mnthly'!AA:AA)</f>
        <v/>
      </c>
      <c r="AA19" s="698">
        <f>-SUMIF('TB Mnthly'!$A:$A,'PnL Mnthly'!$A19,'TB Mnthly'!AB:AB)</f>
        <v/>
      </c>
      <c r="AB19" s="698">
        <f>-SUMIF('TB Mnthly'!$A:$A,'PnL Mnthly'!$A19,'TB Mnthly'!AC:AC)</f>
        <v/>
      </c>
      <c r="AC19" s="699">
        <f>SUM(P19:AB19)</f>
        <v/>
      </c>
      <c r="AD19" s="701" t="n"/>
      <c r="AE19" s="698">
        <f>-SUMIF('TB Mnthly'!$A:$A,'PnL Mnthly'!$A19,'TB Mnthly'!AF:AF)</f>
        <v/>
      </c>
      <c r="AF19" s="698">
        <f>-SUMIF('TB Mnthly'!$A:$A,'PnL Mnthly'!$A19,'TB Mnthly'!AG:AG)</f>
        <v/>
      </c>
      <c r="AG19" s="698">
        <f>-SUMIF('TB Mnthly'!$A:$A,'PnL Mnthly'!$A19,'TB Mnthly'!AH:AH)</f>
        <v/>
      </c>
      <c r="AH19" s="698">
        <f>-SUMIF('TB Mnthly'!$A:$A,'PnL Mnthly'!$A19,'TB Mnthly'!AI:AI)</f>
        <v/>
      </c>
      <c r="AI19" s="698">
        <f>-SUMIF('TB Mnthly'!$A:$A,'PnL Mnthly'!$A19,'TB Mnthly'!AJ:AJ)</f>
        <v/>
      </c>
      <c r="AJ19" s="698">
        <f>-SUMIF('TB Mnthly'!$A:$A,'PnL Mnthly'!$A19,'TB Mnthly'!AK:AK)</f>
        <v/>
      </c>
      <c r="AK19" s="698">
        <f>-SUMIF('TB Mnthly'!$A:$A,'PnL Mnthly'!$A19,'TB Mnthly'!AL:AL)</f>
        <v/>
      </c>
      <c r="AL19" s="698">
        <f>-SUMIF('TB Mnthly'!$A:$A,'PnL Mnthly'!$A19,'TB Mnthly'!AM:AM)</f>
        <v/>
      </c>
      <c r="AM19" s="698">
        <f>-SUMIF('TB Mnthly'!$A:$A,'PnL Mnthly'!$A19,'TB Mnthly'!AN:AN)</f>
        <v/>
      </c>
      <c r="AN19" s="698">
        <f>-SUMIF('TB Mnthly'!$A:$A,'PnL Mnthly'!$A19,'TB Mnthly'!AO:AO)</f>
        <v/>
      </c>
      <c r="AO19" s="698">
        <f>-SUMIF('TB Mnthly'!$A:$A,'PnL Mnthly'!$A19,'TB Mnthly'!AP:AP)</f>
        <v/>
      </c>
      <c r="AP19" s="698">
        <f>-SUMIF('TB Mnthly'!$A:$A,'PnL Mnthly'!$A19,'TB Mnthly'!AQ:AQ)</f>
        <v/>
      </c>
      <c r="AQ19" s="699">
        <f>SUM(AD19:AP19)</f>
        <v/>
      </c>
      <c r="AR19" s="699" t="n"/>
      <c r="AS19" s="698">
        <f>-SUMIF('TB Mnthly'!$A:$A,'PnL Mnthly'!$A19,'TB Mnthly'!AT:AT)</f>
        <v/>
      </c>
      <c r="AT19" s="698">
        <f>-SUMIF('TB Mnthly'!$A:$A,'PnL Mnthly'!$A19,'TB Mnthly'!AU:AU)</f>
        <v/>
      </c>
      <c r="AU19" s="698">
        <f>-SUMIF('TB Mnthly'!$A:$A,'PnL Mnthly'!$A19,'TB Mnthly'!AV:AV)</f>
        <v/>
      </c>
      <c r="AV19" s="698">
        <f>-SUMIF('TB Mnthly'!$A:$A,'PnL Mnthly'!$A19,'TB Mnthly'!AW:AW)</f>
        <v/>
      </c>
      <c r="AW19" s="698">
        <f>-SUMIF('TB Mnthly'!$A:$A,'PnL Mnthly'!$A19,'TB Mnthly'!AX:AX)</f>
        <v/>
      </c>
      <c r="AX19" s="698">
        <f>-SUMIF('TB Mnthly'!$A:$A,'PnL Mnthly'!$A19,'TB Mnthly'!AY:AY)</f>
        <v/>
      </c>
      <c r="AY19" s="698">
        <f>-SUMIF('TB Mnthly'!$A:$A,'PnL Mnthly'!$A19,'TB Mnthly'!AZ:AZ)</f>
        <v/>
      </c>
      <c r="AZ19" s="698">
        <f>-SUMIF('TB Mnthly'!$A:$A,'PnL Mnthly'!$A19,'TB Mnthly'!BA:BA)</f>
        <v/>
      </c>
      <c r="BA19" s="698">
        <f>-SUMIF('TB Mnthly'!$A:$A,'PnL Mnthly'!$A19,'TB Mnthly'!BB:BB)</f>
        <v/>
      </c>
      <c r="BB19" s="698">
        <f>-SUMIF('TB Mnthly'!$A:$A,'PnL Mnthly'!$A19,'TB Mnthly'!BC:BC)</f>
        <v/>
      </c>
      <c r="BC19" s="698">
        <f>-SUMIF('TB Mnthly'!$A:$A,'PnL Mnthly'!$A19,'TB Mnthly'!BD:BD)</f>
        <v/>
      </c>
      <c r="BD19" s="698">
        <f>-SUMIF('TB Mnthly'!$A:$A,'PnL Mnthly'!$A19,'TB Mnthly'!BE:BE)</f>
        <v/>
      </c>
      <c r="BE19" s="699">
        <f>SUM(AR19:BD19)</f>
        <v/>
      </c>
      <c r="BF19" s="699" t="n"/>
      <c r="BG19" s="698">
        <f>-SUMIF('TB Mnthly'!$A:$A,'PnL Mnthly'!$A19,'TB Mnthly'!BH:BH)</f>
        <v/>
      </c>
      <c r="BH19" s="698">
        <f>-SUMIF('TB Mnthly'!$A:$A,'PnL Mnthly'!$A19,'TB Mnthly'!BI:BI)</f>
        <v/>
      </c>
      <c r="BI19" s="698">
        <f>-SUMIF('TB Mnthly'!$A:$A,'PnL Mnthly'!$A19,'TB Mnthly'!BJ:BJ)</f>
        <v/>
      </c>
      <c r="BJ19" s="698">
        <f>-SUMIF('TB Mnthly'!$A:$A,'PnL Mnthly'!$A19,'TB Mnthly'!BK:BK)</f>
        <v/>
      </c>
      <c r="BK19" s="698">
        <f>-SUMIF('TB Mnthly'!$A:$A,'PnL Mnthly'!$A19,'TB Mnthly'!BL:BL)</f>
        <v/>
      </c>
      <c r="BL19" s="698">
        <f>-SUMIF('TB Mnthly'!$A:$A,'PnL Mnthly'!$A19,'TB Mnthly'!BM:BM)</f>
        <v/>
      </c>
      <c r="BM19" s="698">
        <f>-SUMIF('TB Mnthly'!$A:$A,'PnL Mnthly'!$A19,'TB Mnthly'!BN:BN)</f>
        <v/>
      </c>
      <c r="BN19" s="698">
        <f>-SUMIF('TB Mnthly'!$A:$A,'PnL Mnthly'!$A19,'TB Mnthly'!BO:BO)</f>
        <v/>
      </c>
      <c r="BO19" s="698">
        <f>-SUMIF('TB Mnthly'!$A:$A,'PnL Mnthly'!$A19,'TB Mnthly'!BP:BP)</f>
        <v/>
      </c>
      <c r="BP19" s="698">
        <f>-SUMIF('TB Mnthly'!$A:$A,'PnL Mnthly'!$A19,'TB Mnthly'!BQ:BQ)</f>
        <v/>
      </c>
      <c r="BQ19" s="698">
        <f>-SUMIF('TB Mnthly'!$A:$A,'PnL Mnthly'!$A19,'TB Mnthly'!BR:BR)</f>
        <v/>
      </c>
      <c r="BR19" s="698">
        <f>-SUMIF('TB Mnthly'!$A:$A,'PnL Mnthly'!$A19,'TB Mnthly'!BS:BS)</f>
        <v/>
      </c>
      <c r="BS19" s="699">
        <f>SUM(BF19:BR19)</f>
        <v/>
      </c>
    </row>
    <row r="20">
      <c r="A20" s="697">
        <f>Calc!A17</f>
        <v/>
      </c>
      <c r="B20" s="698">
        <f>-SUMIF('TB Mnthly'!$A:$A,'PnL Mnthly'!$A20,'TB Mnthly'!C:C)</f>
        <v/>
      </c>
      <c r="C20" s="698">
        <f>-SUMIF('TB Mnthly'!$A:$A,'PnL Mnthly'!$A20,'TB Mnthly'!D:D)</f>
        <v/>
      </c>
      <c r="D20" s="698">
        <f>-SUMIF('TB Mnthly'!$A:$A,'PnL Mnthly'!$A20,'TB Mnthly'!E:E)</f>
        <v/>
      </c>
      <c r="E20" s="698">
        <f>-SUMIF('TB Mnthly'!$A:$A,'PnL Mnthly'!$A20,'TB Mnthly'!F:F)</f>
        <v/>
      </c>
      <c r="F20" s="698">
        <f>-SUMIF('TB Mnthly'!$A:$A,'PnL Mnthly'!$A20,'TB Mnthly'!G:G)</f>
        <v/>
      </c>
      <c r="G20" s="698">
        <f>-SUMIF('TB Mnthly'!$A:$A,'PnL Mnthly'!$A20,'TB Mnthly'!H:H)</f>
        <v/>
      </c>
      <c r="H20" s="698">
        <f>-SUMIF('TB Mnthly'!$A:$A,'PnL Mnthly'!$A20,'TB Mnthly'!I:I)</f>
        <v/>
      </c>
      <c r="I20" s="698">
        <f>-SUMIF('TB Mnthly'!$A:$A,'PnL Mnthly'!$A20,'TB Mnthly'!J:J)</f>
        <v/>
      </c>
      <c r="J20" s="698">
        <f>-SUMIF('TB Mnthly'!$A:$A,'PnL Mnthly'!$A20,'TB Mnthly'!K:K)</f>
        <v/>
      </c>
      <c r="K20" s="698">
        <f>-SUMIF('TB Mnthly'!$A:$A,'PnL Mnthly'!$A20,'TB Mnthly'!L:L)</f>
        <v/>
      </c>
      <c r="L20" s="698">
        <f>-SUMIF('TB Mnthly'!$A:$A,'PnL Mnthly'!$A20,'TB Mnthly'!M:M)</f>
        <v/>
      </c>
      <c r="M20" s="698">
        <f>-SUMIF('TB Mnthly'!$A:$A,'PnL Mnthly'!$A20,'TB Mnthly'!N:N)</f>
        <v/>
      </c>
      <c r="N20" s="698">
        <f>-SUMIF('TB Mnthly'!$A:$A,'PnL Mnthly'!$A20,'TB Mnthly'!O:O)</f>
        <v/>
      </c>
      <c r="O20" s="699">
        <f>SUM(B20:N20)</f>
        <v/>
      </c>
      <c r="P20" s="700" t="n"/>
      <c r="Q20" s="698">
        <f>-SUMIF('TB Mnthly'!$A:$A,'PnL Mnthly'!$A20,'TB Mnthly'!R:R)</f>
        <v/>
      </c>
      <c r="R20" s="698">
        <f>-SUMIF('TB Mnthly'!$A:$A,'PnL Mnthly'!$A20,'TB Mnthly'!S:S)</f>
        <v/>
      </c>
      <c r="S20" s="698">
        <f>-SUMIF('TB Mnthly'!$A:$A,'PnL Mnthly'!$A20,'TB Mnthly'!T:T)</f>
        <v/>
      </c>
      <c r="T20" s="698">
        <f>-SUMIF('TB Mnthly'!$A:$A,'PnL Mnthly'!$A20,'TB Mnthly'!U:U)</f>
        <v/>
      </c>
      <c r="U20" s="698">
        <f>-SUMIF('TB Mnthly'!$A:$A,'PnL Mnthly'!$A20,'TB Mnthly'!V:V)</f>
        <v/>
      </c>
      <c r="V20" s="698">
        <f>-SUMIF('TB Mnthly'!$A:$A,'PnL Mnthly'!$A20,'TB Mnthly'!W:W)</f>
        <v/>
      </c>
      <c r="W20" s="698">
        <f>-SUMIF('TB Mnthly'!$A:$A,'PnL Mnthly'!$A20,'TB Mnthly'!X:X)</f>
        <v/>
      </c>
      <c r="X20" s="698">
        <f>-SUMIF('TB Mnthly'!$A:$A,'PnL Mnthly'!$A20,'TB Mnthly'!Y:Y)</f>
        <v/>
      </c>
      <c r="Y20" s="698">
        <f>-SUMIF('TB Mnthly'!$A:$A,'PnL Mnthly'!$A20,'TB Mnthly'!Z:Z)</f>
        <v/>
      </c>
      <c r="Z20" s="698">
        <f>-SUMIF('TB Mnthly'!$A:$A,'PnL Mnthly'!$A20,'TB Mnthly'!AA:AA)</f>
        <v/>
      </c>
      <c r="AA20" s="698">
        <f>-SUMIF('TB Mnthly'!$A:$A,'PnL Mnthly'!$A20,'TB Mnthly'!AB:AB)</f>
        <v/>
      </c>
      <c r="AB20" s="698">
        <f>-SUMIF('TB Mnthly'!$A:$A,'PnL Mnthly'!$A20,'TB Mnthly'!AC:AC)</f>
        <v/>
      </c>
      <c r="AC20" s="699">
        <f>SUM(P20:AB20)</f>
        <v/>
      </c>
      <c r="AD20" s="701" t="n"/>
      <c r="AE20" s="698">
        <f>-SUMIF('TB Mnthly'!$A:$A,'PnL Mnthly'!$A20,'TB Mnthly'!AF:AF)</f>
        <v/>
      </c>
      <c r="AF20" s="698">
        <f>-SUMIF('TB Mnthly'!$A:$A,'PnL Mnthly'!$A20,'TB Mnthly'!AG:AG)</f>
        <v/>
      </c>
      <c r="AG20" s="698">
        <f>-SUMIF('TB Mnthly'!$A:$A,'PnL Mnthly'!$A20,'TB Mnthly'!AH:AH)</f>
        <v/>
      </c>
      <c r="AH20" s="698">
        <f>-SUMIF('TB Mnthly'!$A:$A,'PnL Mnthly'!$A20,'TB Mnthly'!AI:AI)</f>
        <v/>
      </c>
      <c r="AI20" s="698">
        <f>-SUMIF('TB Mnthly'!$A:$A,'PnL Mnthly'!$A20,'TB Mnthly'!AJ:AJ)</f>
        <v/>
      </c>
      <c r="AJ20" s="698">
        <f>-SUMIF('TB Mnthly'!$A:$A,'PnL Mnthly'!$A20,'TB Mnthly'!AK:AK)</f>
        <v/>
      </c>
      <c r="AK20" s="698">
        <f>-SUMIF('TB Mnthly'!$A:$A,'PnL Mnthly'!$A20,'TB Mnthly'!AL:AL)</f>
        <v/>
      </c>
      <c r="AL20" s="698">
        <f>-SUMIF('TB Mnthly'!$A:$A,'PnL Mnthly'!$A20,'TB Mnthly'!AM:AM)</f>
        <v/>
      </c>
      <c r="AM20" s="698">
        <f>-SUMIF('TB Mnthly'!$A:$A,'PnL Mnthly'!$A20,'TB Mnthly'!AN:AN)</f>
        <v/>
      </c>
      <c r="AN20" s="698">
        <f>-SUMIF('TB Mnthly'!$A:$A,'PnL Mnthly'!$A20,'TB Mnthly'!AO:AO)</f>
        <v/>
      </c>
      <c r="AO20" s="698">
        <f>-SUMIF('TB Mnthly'!$A:$A,'PnL Mnthly'!$A20,'TB Mnthly'!AP:AP)</f>
        <v/>
      </c>
      <c r="AP20" s="698">
        <f>-SUMIF('TB Mnthly'!$A:$A,'PnL Mnthly'!$A20,'TB Mnthly'!AQ:AQ)</f>
        <v/>
      </c>
      <c r="AQ20" s="699">
        <f>SUM(AD20:AP20)</f>
        <v/>
      </c>
      <c r="AR20" s="699" t="n"/>
      <c r="AS20" s="698">
        <f>-SUMIF('TB Mnthly'!$A:$A,'PnL Mnthly'!$A20,'TB Mnthly'!AT:AT)</f>
        <v/>
      </c>
      <c r="AT20" s="698">
        <f>-SUMIF('TB Mnthly'!$A:$A,'PnL Mnthly'!$A20,'TB Mnthly'!AU:AU)</f>
        <v/>
      </c>
      <c r="AU20" s="698">
        <f>-SUMIF('TB Mnthly'!$A:$A,'PnL Mnthly'!$A20,'TB Mnthly'!AV:AV)</f>
        <v/>
      </c>
      <c r="AV20" s="698">
        <f>-SUMIF('TB Mnthly'!$A:$A,'PnL Mnthly'!$A20,'TB Mnthly'!AW:AW)</f>
        <v/>
      </c>
      <c r="AW20" s="698">
        <f>-SUMIF('TB Mnthly'!$A:$A,'PnL Mnthly'!$A20,'TB Mnthly'!AX:AX)</f>
        <v/>
      </c>
      <c r="AX20" s="698">
        <f>-SUMIF('TB Mnthly'!$A:$A,'PnL Mnthly'!$A20,'TB Mnthly'!AY:AY)</f>
        <v/>
      </c>
      <c r="AY20" s="698">
        <f>-SUMIF('TB Mnthly'!$A:$A,'PnL Mnthly'!$A20,'TB Mnthly'!AZ:AZ)</f>
        <v/>
      </c>
      <c r="AZ20" s="698">
        <f>-SUMIF('TB Mnthly'!$A:$A,'PnL Mnthly'!$A20,'TB Mnthly'!BA:BA)</f>
        <v/>
      </c>
      <c r="BA20" s="698">
        <f>-SUMIF('TB Mnthly'!$A:$A,'PnL Mnthly'!$A20,'TB Mnthly'!BB:BB)</f>
        <v/>
      </c>
      <c r="BB20" s="698">
        <f>-SUMIF('TB Mnthly'!$A:$A,'PnL Mnthly'!$A20,'TB Mnthly'!BC:BC)</f>
        <v/>
      </c>
      <c r="BC20" s="698">
        <f>-SUMIF('TB Mnthly'!$A:$A,'PnL Mnthly'!$A20,'TB Mnthly'!BD:BD)</f>
        <v/>
      </c>
      <c r="BD20" s="698">
        <f>-SUMIF('TB Mnthly'!$A:$A,'PnL Mnthly'!$A20,'TB Mnthly'!BE:BE)</f>
        <v/>
      </c>
      <c r="BE20" s="699">
        <f>SUM(AR20:BD20)</f>
        <v/>
      </c>
      <c r="BF20" s="699" t="n"/>
      <c r="BG20" s="698">
        <f>-SUMIF('TB Mnthly'!$A:$A,'PnL Mnthly'!$A20,'TB Mnthly'!BH:BH)</f>
        <v/>
      </c>
      <c r="BH20" s="698">
        <f>-SUMIF('TB Mnthly'!$A:$A,'PnL Mnthly'!$A20,'TB Mnthly'!BI:BI)</f>
        <v/>
      </c>
      <c r="BI20" s="698">
        <f>-SUMIF('TB Mnthly'!$A:$A,'PnL Mnthly'!$A20,'TB Mnthly'!BJ:BJ)</f>
        <v/>
      </c>
      <c r="BJ20" s="698">
        <f>-SUMIF('TB Mnthly'!$A:$A,'PnL Mnthly'!$A20,'TB Mnthly'!BK:BK)</f>
        <v/>
      </c>
      <c r="BK20" s="698">
        <f>-SUMIF('TB Mnthly'!$A:$A,'PnL Mnthly'!$A20,'TB Mnthly'!BL:BL)</f>
        <v/>
      </c>
      <c r="BL20" s="698">
        <f>-SUMIF('TB Mnthly'!$A:$A,'PnL Mnthly'!$A20,'TB Mnthly'!BM:BM)</f>
        <v/>
      </c>
      <c r="BM20" s="698">
        <f>-SUMIF('TB Mnthly'!$A:$A,'PnL Mnthly'!$A20,'TB Mnthly'!BN:BN)</f>
        <v/>
      </c>
      <c r="BN20" s="698">
        <f>-SUMIF('TB Mnthly'!$A:$A,'PnL Mnthly'!$A20,'TB Mnthly'!BO:BO)</f>
        <v/>
      </c>
      <c r="BO20" s="698">
        <f>-SUMIF('TB Mnthly'!$A:$A,'PnL Mnthly'!$A20,'TB Mnthly'!BP:BP)</f>
        <v/>
      </c>
      <c r="BP20" s="698">
        <f>-SUMIF('TB Mnthly'!$A:$A,'PnL Mnthly'!$A20,'TB Mnthly'!BQ:BQ)</f>
        <v/>
      </c>
      <c r="BQ20" s="698">
        <f>-SUMIF('TB Mnthly'!$A:$A,'PnL Mnthly'!$A20,'TB Mnthly'!BR:BR)</f>
        <v/>
      </c>
      <c r="BR20" s="698">
        <f>-SUMIF('TB Mnthly'!$A:$A,'PnL Mnthly'!$A20,'TB Mnthly'!BS:BS)</f>
        <v/>
      </c>
      <c r="BS20" s="699">
        <f>SUM(BF20:BR20)</f>
        <v/>
      </c>
    </row>
    <row r="21">
      <c r="A21" s="697" t="n"/>
      <c r="B21" s="698" t="n"/>
      <c r="C21" s="698" t="n"/>
      <c r="D21" s="693" t="n"/>
      <c r="E21" s="693" t="n"/>
      <c r="F21" s="693" t="n"/>
      <c r="G21" s="693" t="n"/>
      <c r="H21" s="693" t="n"/>
      <c r="I21" s="693" t="n"/>
      <c r="J21" s="693" t="n"/>
      <c r="K21" s="693" t="n"/>
      <c r="L21" s="693" t="n"/>
      <c r="M21" s="693" t="n"/>
      <c r="N21" s="693" t="n"/>
      <c r="O21" s="702" t="n"/>
      <c r="P21" s="700" t="n"/>
      <c r="Q21" s="700" t="n"/>
      <c r="R21" s="700" t="n"/>
      <c r="S21" s="700" t="n"/>
      <c r="T21" s="700" t="n"/>
      <c r="U21" s="700" t="n"/>
      <c r="V21" s="700" t="n"/>
      <c r="W21" s="700" t="n"/>
      <c r="X21" s="700" t="n"/>
      <c r="Y21" s="700" t="n"/>
      <c r="Z21" s="700" t="n"/>
      <c r="AA21" s="700" t="n"/>
      <c r="AB21" s="700" t="n"/>
      <c r="AC21" s="703" t="n"/>
      <c r="AD21" s="701" t="n"/>
      <c r="AE21" s="700" t="n"/>
      <c r="AF21" s="700" t="n"/>
      <c r="AG21" s="700" t="n"/>
      <c r="AH21" s="700" t="n"/>
      <c r="AI21" s="700" t="n"/>
      <c r="AJ21" s="700" t="n"/>
      <c r="AK21" s="700" t="n"/>
      <c r="AL21" s="700" t="n"/>
      <c r="AM21" s="700" t="n"/>
      <c r="AN21" s="700" t="n"/>
      <c r="AO21" s="700" t="n"/>
      <c r="AP21" s="700" t="n"/>
      <c r="AQ21" s="703" t="n"/>
      <c r="AR21" s="703" t="n"/>
      <c r="AS21" s="700" t="n"/>
      <c r="AT21" s="700" t="n"/>
      <c r="AU21" s="700" t="n"/>
      <c r="AV21" s="700" t="n"/>
      <c r="AW21" s="700" t="n"/>
      <c r="AX21" s="700" t="n"/>
      <c r="AY21" s="700" t="n"/>
      <c r="AZ21" s="700" t="n"/>
      <c r="BA21" s="700" t="n"/>
      <c r="BB21" s="700" t="n"/>
      <c r="BC21" s="700" t="n"/>
      <c r="BD21" s="700" t="n"/>
      <c r="BE21" s="703" t="n"/>
      <c r="BF21" s="703" t="n"/>
      <c r="BG21" s="700" t="n"/>
      <c r="BH21" s="700" t="n"/>
      <c r="BI21" s="700" t="n"/>
      <c r="BJ21" s="700" t="n"/>
      <c r="BK21" s="700" t="n"/>
      <c r="BL21" s="700" t="n"/>
      <c r="BM21" s="700" t="n"/>
      <c r="BN21" s="700" t="n"/>
      <c r="BO21" s="700" t="n"/>
      <c r="BP21" s="700" t="n"/>
      <c r="BQ21" s="700" t="n"/>
      <c r="BR21" s="700" t="n"/>
      <c r="BS21" s="703" t="n"/>
    </row>
    <row r="22">
      <c r="A22" s="696" t="inlineStr">
        <is>
          <t>Total Sales</t>
        </is>
      </c>
      <c r="B22" s="704">
        <f>SUM(B8:B20)</f>
        <v/>
      </c>
      <c r="C22" s="704">
        <f>SUM(C8:C20)</f>
        <v/>
      </c>
      <c r="D22" s="704">
        <f>SUM(D8:D20)</f>
        <v/>
      </c>
      <c r="E22" s="704">
        <f>SUM(E8:E20)</f>
        <v/>
      </c>
      <c r="F22" s="704">
        <f>SUM(F8:F20)</f>
        <v/>
      </c>
      <c r="G22" s="704">
        <f>SUM(G8:G20)</f>
        <v/>
      </c>
      <c r="H22" s="704">
        <f>SUM(H8:H20)</f>
        <v/>
      </c>
      <c r="I22" s="704">
        <f>SUM(I8:I20)</f>
        <v/>
      </c>
      <c r="J22" s="704">
        <f>SUM(J8:J20)</f>
        <v/>
      </c>
      <c r="K22" s="704">
        <f>SUM(K8:K20)</f>
        <v/>
      </c>
      <c r="L22" s="704">
        <f>SUM(L8:L20)</f>
        <v/>
      </c>
      <c r="M22" s="704">
        <f>SUM(M8:M20)</f>
        <v/>
      </c>
      <c r="N22" s="704">
        <f>SUM(N8:N20)</f>
        <v/>
      </c>
      <c r="O22" s="704">
        <f>SUM(O8:O20)</f>
        <v/>
      </c>
      <c r="P22" s="700" t="n"/>
      <c r="Q22" s="704">
        <f>SUM(Q8:Q20)</f>
        <v/>
      </c>
      <c r="R22" s="704">
        <f>SUM(R8:R20)</f>
        <v/>
      </c>
      <c r="S22" s="704">
        <f>SUM(S8:S20)</f>
        <v/>
      </c>
      <c r="T22" s="704">
        <f>SUM(T8:T20)</f>
        <v/>
      </c>
      <c r="U22" s="704">
        <f>SUM(U8:U20)</f>
        <v/>
      </c>
      <c r="V22" s="704">
        <f>SUM(V8:V20)</f>
        <v/>
      </c>
      <c r="W22" s="704">
        <f>SUM(W8:W20)</f>
        <v/>
      </c>
      <c r="X22" s="704">
        <f>SUM(X8:X20)</f>
        <v/>
      </c>
      <c r="Y22" s="704">
        <f>SUM(Y8:Y20)</f>
        <v/>
      </c>
      <c r="Z22" s="704">
        <f>SUM(Z8:Z20)</f>
        <v/>
      </c>
      <c r="AA22" s="704">
        <f>SUM(AA8:AA20)</f>
        <v/>
      </c>
      <c r="AB22" s="704">
        <f>SUM(AB8:AB20)</f>
        <v/>
      </c>
      <c r="AC22" s="704">
        <f>SUM(AC8:AC20)</f>
        <v/>
      </c>
      <c r="AD22" s="701" t="n"/>
      <c r="AE22" s="704">
        <f>SUM(AE8:AE20)</f>
        <v/>
      </c>
      <c r="AF22" s="704">
        <f>SUM(AF8:AF20)</f>
        <v/>
      </c>
      <c r="AG22" s="704">
        <f>SUM(AG8:AG20)</f>
        <v/>
      </c>
      <c r="AH22" s="704">
        <f>SUM(AH8:AH20)</f>
        <v/>
      </c>
      <c r="AI22" s="704">
        <f>SUM(AI8:AI20)</f>
        <v/>
      </c>
      <c r="AJ22" s="704">
        <f>SUM(AJ8:AJ20)</f>
        <v/>
      </c>
      <c r="AK22" s="704">
        <f>SUM(AK8:AK20)</f>
        <v/>
      </c>
      <c r="AL22" s="704">
        <f>SUM(AL8:AL20)</f>
        <v/>
      </c>
      <c r="AM22" s="704">
        <f>SUM(AM8:AM20)</f>
        <v/>
      </c>
      <c r="AN22" s="704">
        <f>SUM(AN8:AN20)</f>
        <v/>
      </c>
      <c r="AO22" s="704">
        <f>SUM(AO8:AO20)</f>
        <v/>
      </c>
      <c r="AP22" s="704">
        <f>SUM(AP8:AP20)</f>
        <v/>
      </c>
      <c r="AQ22" s="704">
        <f>SUM(AQ8:AQ20)</f>
        <v/>
      </c>
      <c r="AR22" s="704" t="n"/>
      <c r="AS22" s="704">
        <f>SUM(AS8:AS20)</f>
        <v/>
      </c>
      <c r="AT22" s="704">
        <f>SUM(AT8:AT20)</f>
        <v/>
      </c>
      <c r="AU22" s="704">
        <f>SUM(AU8:AU20)</f>
        <v/>
      </c>
      <c r="AV22" s="704">
        <f>SUM(AV8:AV20)</f>
        <v/>
      </c>
      <c r="AW22" s="704">
        <f>SUM(AW8:AW20)</f>
        <v/>
      </c>
      <c r="AX22" s="704">
        <f>SUM(AX8:AX20)</f>
        <v/>
      </c>
      <c r="AY22" s="704">
        <f>SUM(AY8:AY20)</f>
        <v/>
      </c>
      <c r="AZ22" s="704">
        <f>SUM(AZ8:AZ20)</f>
        <v/>
      </c>
      <c r="BA22" s="704">
        <f>SUM(BA8:BA20)</f>
        <v/>
      </c>
      <c r="BB22" s="704">
        <f>SUM(BB8:BB20)</f>
        <v/>
      </c>
      <c r="BC22" s="704">
        <f>SUM(BC8:BC20)</f>
        <v/>
      </c>
      <c r="BD22" s="704">
        <f>SUM(BD8:BD20)</f>
        <v/>
      </c>
      <c r="BE22" s="704">
        <f>SUM(BE8:BE20)</f>
        <v/>
      </c>
      <c r="BF22" s="704" t="n"/>
      <c r="BG22" s="704">
        <f>SUM(BG8:BG20)</f>
        <v/>
      </c>
      <c r="BH22" s="704">
        <f>SUM(BH8:BH20)</f>
        <v/>
      </c>
      <c r="BI22" s="704">
        <f>SUM(BI8:BI20)</f>
        <v/>
      </c>
      <c r="BJ22" s="704">
        <f>SUM(BJ8:BJ20)</f>
        <v/>
      </c>
      <c r="BK22" s="704">
        <f>SUM(BK8:BK20)</f>
        <v/>
      </c>
      <c r="BL22" s="704">
        <f>SUM(BL8:BL20)</f>
        <v/>
      </c>
      <c r="BM22" s="704">
        <f>SUM(BM8:BM20)</f>
        <v/>
      </c>
      <c r="BN22" s="704">
        <f>SUM(BN8:BN20)</f>
        <v/>
      </c>
      <c r="BO22" s="704">
        <f>SUM(BO8:BO20)</f>
        <v/>
      </c>
      <c r="BP22" s="704">
        <f>SUM(BP8:BP20)</f>
        <v/>
      </c>
      <c r="BQ22" s="704">
        <f>SUM(BQ8:BQ20)</f>
        <v/>
      </c>
      <c r="BR22" s="704">
        <f>SUM(BR8:BR20)</f>
        <v/>
      </c>
      <c r="BS22" s="704">
        <f>SUM(BS8:BS20)</f>
        <v/>
      </c>
    </row>
    <row r="23">
      <c r="A23" s="697" t="n"/>
      <c r="B23" s="693" t="n"/>
      <c r="C23" s="693" t="n"/>
      <c r="D23" s="693" t="n"/>
      <c r="E23" s="693" t="n"/>
      <c r="F23" s="693" t="n"/>
      <c r="G23" s="693" t="n"/>
      <c r="H23" s="693" t="n"/>
      <c r="I23" s="693" t="n"/>
      <c r="J23" s="693" t="n"/>
      <c r="K23" s="693" t="n"/>
      <c r="L23" s="693" t="n"/>
      <c r="M23" s="693" t="n"/>
      <c r="N23" s="693" t="n"/>
      <c r="O23" s="702" t="n"/>
      <c r="P23" s="700" t="n"/>
      <c r="Q23" s="700" t="n"/>
      <c r="R23" s="700" t="n"/>
      <c r="S23" s="701" t="n"/>
      <c r="T23" s="701" t="n"/>
      <c r="U23" s="701" t="n"/>
      <c r="V23" s="701" t="n"/>
      <c r="W23" s="701" t="n"/>
      <c r="X23" s="701" t="n"/>
      <c r="Y23" s="701" t="n"/>
      <c r="Z23" s="701" t="n"/>
      <c r="AA23" s="701" t="n"/>
      <c r="AB23" s="701" t="n"/>
      <c r="AC23" s="703" t="n"/>
      <c r="AD23" s="701" t="n"/>
      <c r="AE23" s="700" t="n"/>
      <c r="AF23" s="700" t="n"/>
      <c r="AG23" s="701" t="n"/>
      <c r="AH23" s="701" t="n"/>
      <c r="AI23" s="701" t="n"/>
      <c r="AJ23" s="701" t="n"/>
      <c r="AK23" s="701" t="n"/>
      <c r="AL23" s="701" t="n"/>
      <c r="AM23" s="701" t="n"/>
      <c r="AN23" s="701" t="n"/>
      <c r="AO23" s="701" t="n"/>
      <c r="AP23" s="701" t="n"/>
      <c r="AQ23" s="703" t="n"/>
      <c r="AR23" s="703" t="n"/>
      <c r="AS23" s="700" t="n"/>
      <c r="AT23" s="700" t="n"/>
      <c r="AU23" s="701" t="n"/>
      <c r="AV23" s="701" t="n"/>
      <c r="AW23" s="701" t="n"/>
      <c r="AX23" s="701" t="n"/>
      <c r="AY23" s="701" t="n"/>
      <c r="AZ23" s="701" t="n"/>
      <c r="BA23" s="701" t="n"/>
      <c r="BB23" s="701" t="n"/>
      <c r="BC23" s="701" t="n"/>
      <c r="BD23" s="701" t="n"/>
      <c r="BE23" s="703" t="n"/>
      <c r="BF23" s="703" t="n"/>
      <c r="BG23" s="700" t="n"/>
      <c r="BH23" s="700" t="n"/>
      <c r="BI23" s="701" t="n"/>
      <c r="BJ23" s="701" t="n"/>
      <c r="BK23" s="701" t="n"/>
      <c r="BL23" s="701" t="n"/>
      <c r="BM23" s="701" t="n"/>
      <c r="BN23" s="701" t="n"/>
      <c r="BO23" s="701" t="n"/>
      <c r="BP23" s="701" t="n"/>
      <c r="BQ23" s="701" t="n"/>
      <c r="BR23" s="701" t="n"/>
      <c r="BS23" s="703" t="n"/>
    </row>
    <row r="24">
      <c r="A24" s="696" t="inlineStr">
        <is>
          <t>Cost of Sales</t>
        </is>
      </c>
      <c r="B24" s="693" t="n"/>
      <c r="C24" s="693" t="n"/>
      <c r="D24" s="693" t="n"/>
      <c r="E24" s="693" t="n"/>
      <c r="F24" s="693" t="n"/>
      <c r="G24" s="693" t="n"/>
      <c r="H24" s="693" t="n"/>
      <c r="I24" s="693" t="n"/>
      <c r="J24" s="693" t="n"/>
      <c r="K24" s="693" t="n"/>
      <c r="L24" s="693" t="n"/>
      <c r="M24" s="693" t="n"/>
      <c r="N24" s="693" t="n"/>
      <c r="O24" s="702" t="n"/>
      <c r="P24" s="700" t="n"/>
      <c r="Q24" s="700" t="n"/>
      <c r="R24" s="700" t="n"/>
      <c r="S24" s="701" t="n"/>
      <c r="T24" s="701" t="n"/>
      <c r="U24" s="701" t="n"/>
      <c r="V24" s="701" t="n"/>
      <c r="W24" s="701" t="n"/>
      <c r="X24" s="701" t="n"/>
      <c r="Y24" s="701" t="n"/>
      <c r="Z24" s="701" t="n"/>
      <c r="AA24" s="701" t="n"/>
      <c r="AB24" s="701" t="n"/>
      <c r="AC24" s="703" t="n"/>
      <c r="AD24" s="701" t="n"/>
      <c r="AE24" s="700" t="n"/>
      <c r="AF24" s="700" t="n"/>
      <c r="AG24" s="701" t="n"/>
      <c r="AH24" s="701" t="n"/>
      <c r="AI24" s="701" t="n"/>
      <c r="AJ24" s="701" t="n"/>
      <c r="AK24" s="701" t="n"/>
      <c r="AL24" s="701" t="n"/>
      <c r="AM24" s="701" t="n"/>
      <c r="AN24" s="701" t="n"/>
      <c r="AO24" s="701" t="n"/>
      <c r="AP24" s="701" t="n"/>
      <c r="AQ24" s="703" t="n"/>
      <c r="AR24" s="703" t="n"/>
      <c r="AS24" s="700" t="n"/>
      <c r="AT24" s="700" t="n"/>
      <c r="AU24" s="701" t="n"/>
      <c r="AV24" s="701" t="n"/>
      <c r="AW24" s="701" t="n"/>
      <c r="AX24" s="701" t="n"/>
      <c r="AY24" s="701" t="n"/>
      <c r="AZ24" s="701" t="n"/>
      <c r="BA24" s="701" t="n"/>
      <c r="BB24" s="701" t="n"/>
      <c r="BC24" s="701" t="n"/>
      <c r="BD24" s="701" t="n"/>
      <c r="BE24" s="703" t="n"/>
      <c r="BF24" s="703" t="n"/>
      <c r="BG24" s="700" t="n"/>
      <c r="BH24" s="700" t="n"/>
      <c r="BI24" s="701" t="n"/>
      <c r="BJ24" s="701" t="n"/>
      <c r="BK24" s="701" t="n"/>
      <c r="BL24" s="701" t="n"/>
      <c r="BM24" s="701" t="n"/>
      <c r="BN24" s="701" t="n"/>
      <c r="BO24" s="701" t="n"/>
      <c r="BP24" s="701" t="n"/>
      <c r="BQ24" s="701" t="n"/>
      <c r="BR24" s="701" t="n"/>
      <c r="BS24" s="703" t="n"/>
    </row>
    <row r="25">
      <c r="A25" s="697" t="inlineStr">
        <is>
          <t>Airtime Vouchers</t>
        </is>
      </c>
      <c r="B25" s="698">
        <f>SUMIF('TB Mnthly'!$A:$A,'PnL Mnthly'!$A25,'TB Mnthly'!C:C)</f>
        <v/>
      </c>
      <c r="C25" s="698">
        <f>SUMIF('TB Mnthly'!$A:$A,'PnL Mnthly'!$A25,'TB Mnthly'!D:D)</f>
        <v/>
      </c>
      <c r="D25" s="698">
        <f>SUMIF('TB Mnthly'!$A:$A,'PnL Mnthly'!$A25,'TB Mnthly'!E:E)</f>
        <v/>
      </c>
      <c r="E25" s="698">
        <f>SUMIF('TB Mnthly'!$A:$A,'PnL Mnthly'!$A25,'TB Mnthly'!F:F)</f>
        <v/>
      </c>
      <c r="F25" s="698">
        <f>SUMIF('TB Mnthly'!$A:$A,'PnL Mnthly'!$A25,'TB Mnthly'!G:G)</f>
        <v/>
      </c>
      <c r="G25" s="698">
        <f>SUMIF('TB Mnthly'!$A:$A,'PnL Mnthly'!$A25,'TB Mnthly'!H:H)</f>
        <v/>
      </c>
      <c r="H25" s="698">
        <f>SUMIF('TB Mnthly'!$A:$A,'PnL Mnthly'!$A25,'TB Mnthly'!I:I)</f>
        <v/>
      </c>
      <c r="I25" s="698">
        <f>SUMIF('TB Mnthly'!$A:$A,'PnL Mnthly'!$A25,'TB Mnthly'!J:J)</f>
        <v/>
      </c>
      <c r="J25" s="698">
        <f>SUMIF('TB Mnthly'!$A:$A,'PnL Mnthly'!$A25,'TB Mnthly'!K:K)</f>
        <v/>
      </c>
      <c r="K25" s="698">
        <f>SUMIF('TB Mnthly'!$A:$A,'PnL Mnthly'!$A25,'TB Mnthly'!L:L)</f>
        <v/>
      </c>
      <c r="L25" s="698">
        <f>SUMIF('TB Mnthly'!$A:$A,'PnL Mnthly'!$A25,'TB Mnthly'!M:M)</f>
        <v/>
      </c>
      <c r="M25" s="698">
        <f>SUMIF('TB Mnthly'!$A:$A,'PnL Mnthly'!$A25,'TB Mnthly'!N:N)</f>
        <v/>
      </c>
      <c r="N25" s="698">
        <f>SUMIF('TB Mnthly'!$A:$A,'PnL Mnthly'!$A25,'TB Mnthly'!O:O)</f>
        <v/>
      </c>
      <c r="O25" s="699">
        <f>SUM(B25:N25)</f>
        <v/>
      </c>
      <c r="P25" s="700" t="n"/>
      <c r="Q25" s="698">
        <f>SUMIF('TB Mnthly'!$A:$A,'PnL Mnthly'!$A25,'TB Mnthly'!R:R)</f>
        <v/>
      </c>
      <c r="R25" s="698">
        <f>SUMIF('TB Mnthly'!$A:$A,'PnL Mnthly'!$A25,'TB Mnthly'!S:S)</f>
        <v/>
      </c>
      <c r="S25" s="698">
        <f>SUMIF('TB Mnthly'!$A:$A,'PnL Mnthly'!$A25,'TB Mnthly'!T:T)</f>
        <v/>
      </c>
      <c r="T25" s="698">
        <f>SUMIF('TB Mnthly'!$A:$A,'PnL Mnthly'!$A25,'TB Mnthly'!U:U)</f>
        <v/>
      </c>
      <c r="U25" s="698">
        <f>SUMIF('TB Mnthly'!$A:$A,'PnL Mnthly'!$A25,'TB Mnthly'!V:V)</f>
        <v/>
      </c>
      <c r="V25" s="698">
        <f>SUMIF('TB Mnthly'!$A:$A,'PnL Mnthly'!$A25,'TB Mnthly'!W:W)</f>
        <v/>
      </c>
      <c r="W25" s="698">
        <f>SUMIF('TB Mnthly'!$A:$A,'PnL Mnthly'!$A25,'TB Mnthly'!X:X)</f>
        <v/>
      </c>
      <c r="X25" s="698">
        <f>SUMIF('TB Mnthly'!$A:$A,'PnL Mnthly'!$A25,'TB Mnthly'!Y:Y)</f>
        <v/>
      </c>
      <c r="Y25" s="698">
        <f>SUMIF('TB Mnthly'!$A:$A,'PnL Mnthly'!$A25,'TB Mnthly'!Z:Z)</f>
        <v/>
      </c>
      <c r="Z25" s="698">
        <f>SUMIF('TB Mnthly'!$A:$A,'PnL Mnthly'!$A25,'TB Mnthly'!AA:AA)</f>
        <v/>
      </c>
      <c r="AA25" s="698">
        <f>SUMIF('TB Mnthly'!$A:$A,'PnL Mnthly'!$A25,'TB Mnthly'!AB:AB)</f>
        <v/>
      </c>
      <c r="AB25" s="698">
        <f>SUMIF('TB Mnthly'!$A:$A,'PnL Mnthly'!$A25,'TB Mnthly'!AC:AC)</f>
        <v/>
      </c>
      <c r="AC25" s="699">
        <f>SUM(P25:AB25)</f>
        <v/>
      </c>
      <c r="AD25" s="701" t="n"/>
      <c r="AE25" s="698">
        <f>SUMIF('TB Mnthly'!$A:$A,'PnL Mnthly'!$A25,'TB Mnthly'!AF:AF)</f>
        <v/>
      </c>
      <c r="AF25" s="698">
        <f>SUMIF('TB Mnthly'!$A:$A,'PnL Mnthly'!$A25,'TB Mnthly'!AG:AG)</f>
        <v/>
      </c>
      <c r="AG25" s="698">
        <f>SUMIF('TB Mnthly'!$A:$A,'PnL Mnthly'!$A25,'TB Mnthly'!AH:AH)</f>
        <v/>
      </c>
      <c r="AH25" s="698">
        <f>SUMIF('TB Mnthly'!$A:$A,'PnL Mnthly'!$A25,'TB Mnthly'!AI:AI)</f>
        <v/>
      </c>
      <c r="AI25" s="698">
        <f>SUMIF('TB Mnthly'!$A:$A,'PnL Mnthly'!$A25,'TB Mnthly'!AJ:AJ)</f>
        <v/>
      </c>
      <c r="AJ25" s="698">
        <f>SUMIF('TB Mnthly'!$A:$A,'PnL Mnthly'!$A25,'TB Mnthly'!AK:AK)</f>
        <v/>
      </c>
      <c r="AK25" s="698">
        <f>SUMIF('TB Mnthly'!$A:$A,'PnL Mnthly'!$A25,'TB Mnthly'!AL:AL)</f>
        <v/>
      </c>
      <c r="AL25" s="698">
        <f>SUMIF('TB Mnthly'!$A:$A,'PnL Mnthly'!$A25,'TB Mnthly'!AM:AM)</f>
        <v/>
      </c>
      <c r="AM25" s="698">
        <f>SUMIF('TB Mnthly'!$A:$A,'PnL Mnthly'!$A25,'TB Mnthly'!AN:AN)</f>
        <v/>
      </c>
      <c r="AN25" s="698">
        <f>SUMIF('TB Mnthly'!$A:$A,'PnL Mnthly'!$A25,'TB Mnthly'!AO:AO)</f>
        <v/>
      </c>
      <c r="AO25" s="698">
        <f>SUMIF('TB Mnthly'!$A:$A,'PnL Mnthly'!$A25,'TB Mnthly'!AP:AP)</f>
        <v/>
      </c>
      <c r="AP25" s="698">
        <f>SUMIF('TB Mnthly'!$A:$A,'PnL Mnthly'!$A25,'TB Mnthly'!AQ:AQ)</f>
        <v/>
      </c>
      <c r="AQ25" s="699">
        <f>SUM(AD25:AP25)</f>
        <v/>
      </c>
      <c r="AR25" s="699" t="n"/>
      <c r="AS25" s="698">
        <f>SUMIF('TB Mnthly'!$A:$A,'PnL Mnthly'!$A25,'TB Mnthly'!AT:AT)</f>
        <v/>
      </c>
      <c r="AT25" s="698">
        <f>SUMIF('TB Mnthly'!$A:$A,'PnL Mnthly'!$A25,'TB Mnthly'!AU:AU)</f>
        <v/>
      </c>
      <c r="AU25" s="698">
        <f>SUMIF('TB Mnthly'!$A:$A,'PnL Mnthly'!$A25,'TB Mnthly'!AV:AV)</f>
        <v/>
      </c>
      <c r="AV25" s="698">
        <f>SUMIF('TB Mnthly'!$A:$A,'PnL Mnthly'!$A25,'TB Mnthly'!AW:AW)</f>
        <v/>
      </c>
      <c r="AW25" s="698">
        <f>SUMIF('TB Mnthly'!$A:$A,'PnL Mnthly'!$A25,'TB Mnthly'!AX:AX)</f>
        <v/>
      </c>
      <c r="AX25" s="698">
        <f>SUMIF('TB Mnthly'!$A:$A,'PnL Mnthly'!$A25,'TB Mnthly'!AY:AY)</f>
        <v/>
      </c>
      <c r="AY25" s="698">
        <f>SUMIF('TB Mnthly'!$A:$A,'PnL Mnthly'!$A25,'TB Mnthly'!AZ:AZ)</f>
        <v/>
      </c>
      <c r="AZ25" s="698">
        <f>SUMIF('TB Mnthly'!$A:$A,'PnL Mnthly'!$A25,'TB Mnthly'!BA:BA)</f>
        <v/>
      </c>
      <c r="BA25" s="698">
        <f>SUMIF('TB Mnthly'!$A:$A,'PnL Mnthly'!$A25,'TB Mnthly'!BB:BB)</f>
        <v/>
      </c>
      <c r="BB25" s="698">
        <f>SUMIF('TB Mnthly'!$A:$A,'PnL Mnthly'!$A25,'TB Mnthly'!BC:BC)</f>
        <v/>
      </c>
      <c r="BC25" s="698">
        <f>SUMIF('TB Mnthly'!$A:$A,'PnL Mnthly'!$A25,'TB Mnthly'!BD:BD)</f>
        <v/>
      </c>
      <c r="BD25" s="698">
        <f>SUMIF('TB Mnthly'!$A:$A,'PnL Mnthly'!$A25,'TB Mnthly'!BE:BE)</f>
        <v/>
      </c>
      <c r="BE25" s="699">
        <f>SUM(AR25:BD25)</f>
        <v/>
      </c>
      <c r="BF25" s="699" t="n"/>
      <c r="BG25" s="698">
        <f>SUMIF('TB Mnthly'!$A:$A,'PnL Mnthly'!$A25,'TB Mnthly'!BH:BH)</f>
        <v/>
      </c>
      <c r="BH25" s="698">
        <f>SUMIF('TB Mnthly'!$A:$A,'PnL Mnthly'!$A25,'TB Mnthly'!BI:BI)</f>
        <v/>
      </c>
      <c r="BI25" s="698">
        <f>SUMIF('TB Mnthly'!$A:$A,'PnL Mnthly'!$A25,'TB Mnthly'!BJ:BJ)</f>
        <v/>
      </c>
      <c r="BJ25" s="698">
        <f>SUMIF('TB Mnthly'!$A:$A,'PnL Mnthly'!$A25,'TB Mnthly'!BK:BK)</f>
        <v/>
      </c>
      <c r="BK25" s="698">
        <f>SUMIF('TB Mnthly'!$A:$A,'PnL Mnthly'!$A25,'TB Mnthly'!BL:BL)</f>
        <v/>
      </c>
      <c r="BL25" s="698">
        <f>SUMIF('TB Mnthly'!$A:$A,'PnL Mnthly'!$A25,'TB Mnthly'!BM:BM)</f>
        <v/>
      </c>
      <c r="BM25" s="698">
        <f>SUMIF('TB Mnthly'!$A:$A,'PnL Mnthly'!$A25,'TB Mnthly'!BN:BN)</f>
        <v/>
      </c>
      <c r="BN25" s="698">
        <f>SUMIF('TB Mnthly'!$A:$A,'PnL Mnthly'!$A25,'TB Mnthly'!BO:BO)</f>
        <v/>
      </c>
      <c r="BO25" s="698">
        <f>SUMIF('TB Mnthly'!$A:$A,'PnL Mnthly'!$A25,'TB Mnthly'!BP:BP)</f>
        <v/>
      </c>
      <c r="BP25" s="698">
        <f>SUMIF('TB Mnthly'!$A:$A,'PnL Mnthly'!$A25,'TB Mnthly'!BQ:BQ)</f>
        <v/>
      </c>
      <c r="BQ25" s="698">
        <f>SUMIF('TB Mnthly'!$A:$A,'PnL Mnthly'!$A25,'TB Mnthly'!BR:BR)</f>
        <v/>
      </c>
      <c r="BR25" s="698">
        <f>SUMIF('TB Mnthly'!$A:$A,'PnL Mnthly'!$A25,'TB Mnthly'!BS:BS)</f>
        <v/>
      </c>
      <c r="BS25" s="699">
        <f>SUM(BF25:BR25)</f>
        <v/>
      </c>
    </row>
    <row r="26">
      <c r="A26" s="697" t="n"/>
      <c r="B26" s="698" t="n"/>
      <c r="C26" s="698" t="n"/>
      <c r="D26" s="698" t="n"/>
      <c r="E26" s="698" t="n"/>
      <c r="F26" s="698" t="n"/>
      <c r="G26" s="698" t="n"/>
      <c r="H26" s="698" t="n"/>
      <c r="I26" s="698" t="n"/>
      <c r="J26" s="698" t="n"/>
      <c r="K26" s="698" t="n"/>
      <c r="L26" s="698" t="n"/>
      <c r="M26" s="698" t="n"/>
      <c r="N26" s="698" t="n"/>
      <c r="O26" s="699" t="n"/>
      <c r="P26" s="700" t="n"/>
      <c r="Q26" s="698" t="n"/>
      <c r="R26" s="698" t="n"/>
      <c r="S26" s="698" t="n"/>
      <c r="T26" s="698" t="n"/>
      <c r="U26" s="698" t="n"/>
      <c r="V26" s="698" t="n"/>
      <c r="W26" s="698" t="n"/>
      <c r="X26" s="698" t="n"/>
      <c r="Y26" s="698" t="n"/>
      <c r="Z26" s="698" t="n"/>
      <c r="AA26" s="698" t="n"/>
      <c r="AB26" s="698" t="n"/>
      <c r="AC26" s="699" t="n"/>
      <c r="AD26" s="701" t="n"/>
      <c r="AE26" s="698" t="n"/>
      <c r="AF26" s="698" t="n"/>
      <c r="AG26" s="698" t="n"/>
      <c r="AH26" s="698" t="n"/>
      <c r="AI26" s="698" t="n"/>
      <c r="AJ26" s="698" t="n"/>
      <c r="AK26" s="698" t="n"/>
      <c r="AL26" s="698" t="n"/>
      <c r="AM26" s="698" t="n"/>
      <c r="AN26" s="698" t="n"/>
      <c r="AO26" s="698" t="n"/>
      <c r="AP26" s="698" t="n"/>
      <c r="AQ26" s="699" t="n"/>
      <c r="AR26" s="699" t="n"/>
      <c r="AS26" s="698" t="n"/>
      <c r="AT26" s="698" t="n"/>
      <c r="AU26" s="698" t="n"/>
      <c r="AV26" s="698" t="n"/>
      <c r="AW26" s="698" t="n"/>
      <c r="AX26" s="698" t="n"/>
      <c r="AY26" s="698" t="n"/>
      <c r="AZ26" s="698" t="n"/>
      <c r="BA26" s="698" t="n"/>
      <c r="BB26" s="698" t="n"/>
      <c r="BC26" s="698" t="n"/>
      <c r="BD26" s="698" t="n"/>
      <c r="BE26" s="699" t="n"/>
      <c r="BF26" s="699" t="n"/>
      <c r="BG26" s="698" t="n"/>
      <c r="BH26" s="698" t="n"/>
      <c r="BI26" s="698" t="n"/>
      <c r="BJ26" s="698" t="n"/>
      <c r="BK26" s="698" t="n"/>
      <c r="BL26" s="698" t="n"/>
      <c r="BM26" s="698" t="n"/>
      <c r="BN26" s="698" t="n"/>
      <c r="BO26" s="698" t="n"/>
      <c r="BP26" s="698" t="n"/>
      <c r="BQ26" s="698" t="n"/>
      <c r="BR26" s="698" t="n"/>
      <c r="BS26" s="699" t="n"/>
    </row>
    <row r="27">
      <c r="A27" s="696" t="inlineStr">
        <is>
          <t>Total Cost of Sales</t>
        </is>
      </c>
      <c r="B27" s="704">
        <f>SUM(B25:B26)</f>
        <v/>
      </c>
      <c r="C27" s="704">
        <f>SUM(C25:C26)</f>
        <v/>
      </c>
      <c r="D27" s="704">
        <f>SUM(D25:D26)</f>
        <v/>
      </c>
      <c r="E27" s="704">
        <f>SUM(E25:E26)</f>
        <v/>
      </c>
      <c r="F27" s="704">
        <f>SUM(F25:F26)</f>
        <v/>
      </c>
      <c r="G27" s="704">
        <f>SUM(G25:G26)</f>
        <v/>
      </c>
      <c r="H27" s="704">
        <f>SUM(H25:H26)</f>
        <v/>
      </c>
      <c r="I27" s="704">
        <f>SUM(I25:I26)</f>
        <v/>
      </c>
      <c r="J27" s="704">
        <f>SUM(J25:J26)</f>
        <v/>
      </c>
      <c r="K27" s="704">
        <f>SUM(K25:K26)</f>
        <v/>
      </c>
      <c r="L27" s="704">
        <f>SUM(L25:L26)</f>
        <v/>
      </c>
      <c r="M27" s="704">
        <f>SUM(M25:M26)</f>
        <v/>
      </c>
      <c r="N27" s="704">
        <f>SUM(N25:N26)</f>
        <v/>
      </c>
      <c r="O27" s="704">
        <f>SUM(O25:O26)</f>
        <v/>
      </c>
      <c r="P27" s="700" t="n"/>
      <c r="Q27" s="704">
        <f>SUM(Q25:Q26)</f>
        <v/>
      </c>
      <c r="R27" s="704">
        <f>SUM(R25:R26)</f>
        <v/>
      </c>
      <c r="S27" s="704">
        <f>SUM(S25:S26)</f>
        <v/>
      </c>
      <c r="T27" s="704">
        <f>SUM(T25:T26)</f>
        <v/>
      </c>
      <c r="U27" s="704">
        <f>SUM(U25:U26)</f>
        <v/>
      </c>
      <c r="V27" s="704">
        <f>SUM(V25:V26)</f>
        <v/>
      </c>
      <c r="W27" s="704">
        <f>SUM(W25:W26)</f>
        <v/>
      </c>
      <c r="X27" s="704">
        <f>SUM(X25:X26)</f>
        <v/>
      </c>
      <c r="Y27" s="704">
        <f>SUM(Y25:Y26)</f>
        <v/>
      </c>
      <c r="Z27" s="704">
        <f>SUM(Z25:Z26)</f>
        <v/>
      </c>
      <c r="AA27" s="704">
        <f>SUM(AA25:AA26)</f>
        <v/>
      </c>
      <c r="AB27" s="704">
        <f>SUM(AB25:AB26)</f>
        <v/>
      </c>
      <c r="AC27" s="704">
        <f>SUM(AC25:AC26)</f>
        <v/>
      </c>
      <c r="AD27" s="704" t="n"/>
      <c r="AE27" s="704">
        <f>SUM(AE25:AE26)</f>
        <v/>
      </c>
      <c r="AF27" s="704">
        <f>SUM(AF25:AF26)</f>
        <v/>
      </c>
      <c r="AG27" s="704">
        <f>SUM(AG25:AG26)</f>
        <v/>
      </c>
      <c r="AH27" s="704">
        <f>SUM(AH25:AH26)</f>
        <v/>
      </c>
      <c r="AI27" s="704">
        <f>SUM(AI25:AI26)</f>
        <v/>
      </c>
      <c r="AJ27" s="704">
        <f>SUM(AJ25:AJ26)</f>
        <v/>
      </c>
      <c r="AK27" s="704">
        <f>SUM(AK25:AK26)</f>
        <v/>
      </c>
      <c r="AL27" s="704">
        <f>SUM(AL25:AL26)</f>
        <v/>
      </c>
      <c r="AM27" s="704">
        <f>SUM(AM25:AM26)</f>
        <v/>
      </c>
      <c r="AN27" s="704">
        <f>SUM(AN25:AN26)</f>
        <v/>
      </c>
      <c r="AO27" s="704">
        <f>SUM(AO25:AO26)</f>
        <v/>
      </c>
      <c r="AP27" s="704">
        <f>SUM(AP25:AP26)</f>
        <v/>
      </c>
      <c r="AQ27" s="704">
        <f>SUM(AQ25:AQ26)</f>
        <v/>
      </c>
      <c r="AR27" s="704" t="n"/>
      <c r="AS27" s="704">
        <f>SUM(AS25:AS26)</f>
        <v/>
      </c>
      <c r="AT27" s="704">
        <f>SUM(AT25:AT26)</f>
        <v/>
      </c>
      <c r="AU27" s="704">
        <f>SUM(AU25:AU26)</f>
        <v/>
      </c>
      <c r="AV27" s="704">
        <f>SUM(AV25:AV26)</f>
        <v/>
      </c>
      <c r="AW27" s="704">
        <f>SUM(AW25:AW26)</f>
        <v/>
      </c>
      <c r="AX27" s="704">
        <f>SUM(AX25:AX26)</f>
        <v/>
      </c>
      <c r="AY27" s="704">
        <f>SUM(AY25:AY26)</f>
        <v/>
      </c>
      <c r="AZ27" s="704">
        <f>SUM(AZ25:AZ26)</f>
        <v/>
      </c>
      <c r="BA27" s="704">
        <f>SUM(BA25:BA26)</f>
        <v/>
      </c>
      <c r="BB27" s="704">
        <f>SUM(BB25:BB26)</f>
        <v/>
      </c>
      <c r="BC27" s="704">
        <f>SUM(BC25:BC26)</f>
        <v/>
      </c>
      <c r="BD27" s="704">
        <f>SUM(BD25:BD26)</f>
        <v/>
      </c>
      <c r="BE27" s="704">
        <f>SUM(BE25:BE26)</f>
        <v/>
      </c>
      <c r="BF27" s="704" t="n"/>
      <c r="BG27" s="704">
        <f>SUM(BG25:BG26)</f>
        <v/>
      </c>
      <c r="BH27" s="704">
        <f>SUM(BH25:BH26)</f>
        <v/>
      </c>
      <c r="BI27" s="704">
        <f>SUM(BI25:BI26)</f>
        <v/>
      </c>
      <c r="BJ27" s="704">
        <f>SUM(BJ25:BJ26)</f>
        <v/>
      </c>
      <c r="BK27" s="704">
        <f>SUM(BK25:BK26)</f>
        <v/>
      </c>
      <c r="BL27" s="704">
        <f>SUM(BL25:BL26)</f>
        <v/>
      </c>
      <c r="BM27" s="704">
        <f>SUM(BM25:BM26)</f>
        <v/>
      </c>
      <c r="BN27" s="704">
        <f>SUM(BN25:BN26)</f>
        <v/>
      </c>
      <c r="BO27" s="704">
        <f>SUM(BO25:BO26)</f>
        <v/>
      </c>
      <c r="BP27" s="704">
        <f>SUM(BP25:BP26)</f>
        <v/>
      </c>
      <c r="BQ27" s="704">
        <f>SUM(BQ25:BQ26)</f>
        <v/>
      </c>
      <c r="BR27" s="704">
        <f>SUM(BR25:BR26)</f>
        <v/>
      </c>
      <c r="BS27" s="704">
        <f>SUM(BS25:BS26)</f>
        <v/>
      </c>
    </row>
    <row r="28">
      <c r="A28" s="697" t="n"/>
      <c r="B28" s="693" t="n"/>
      <c r="C28" s="693" t="n"/>
      <c r="D28" s="693" t="n"/>
      <c r="E28" s="693" t="n"/>
      <c r="F28" s="693" t="n"/>
      <c r="G28" s="693" t="n"/>
      <c r="H28" s="693" t="n"/>
      <c r="I28" s="693" t="n"/>
      <c r="J28" s="693" t="n"/>
      <c r="K28" s="693" t="n"/>
      <c r="L28" s="693" t="n"/>
      <c r="M28" s="693" t="n"/>
      <c r="N28" s="693" t="n"/>
      <c r="O28" s="702" t="n"/>
      <c r="P28" s="700" t="n"/>
      <c r="Q28" s="700" t="n"/>
      <c r="R28" s="700" t="n"/>
      <c r="S28" s="701" t="n"/>
      <c r="T28" s="701" t="n"/>
      <c r="U28" s="701" t="n"/>
      <c r="V28" s="701" t="n"/>
      <c r="W28" s="701" t="n"/>
      <c r="X28" s="701" t="n"/>
      <c r="Y28" s="701" t="n"/>
      <c r="Z28" s="701" t="n"/>
      <c r="AA28" s="701" t="n"/>
      <c r="AB28" s="701" t="n"/>
      <c r="AC28" s="703" t="n"/>
      <c r="AD28" s="701" t="n"/>
      <c r="AE28" s="700" t="n"/>
      <c r="AF28" s="700" t="n"/>
      <c r="AG28" s="701" t="n"/>
      <c r="AH28" s="701" t="n"/>
      <c r="AI28" s="701" t="n"/>
      <c r="AJ28" s="701" t="n"/>
      <c r="AK28" s="701" t="n"/>
      <c r="AL28" s="701" t="n"/>
      <c r="AM28" s="701" t="n"/>
      <c r="AN28" s="701" t="n"/>
      <c r="AO28" s="701" t="n"/>
      <c r="AP28" s="701" t="n"/>
      <c r="AQ28" s="703" t="n"/>
      <c r="AR28" s="703" t="n"/>
      <c r="AS28" s="700" t="n"/>
      <c r="AT28" s="700" t="n"/>
      <c r="AU28" s="701" t="n"/>
      <c r="AV28" s="701" t="n"/>
      <c r="AW28" s="701" t="n"/>
      <c r="AX28" s="701" t="n"/>
      <c r="AY28" s="701" t="n"/>
      <c r="AZ28" s="701" t="n"/>
      <c r="BA28" s="701" t="n"/>
      <c r="BB28" s="701" t="n"/>
      <c r="BC28" s="701" t="n"/>
      <c r="BD28" s="701" t="n"/>
      <c r="BE28" s="703" t="n"/>
      <c r="BF28" s="703" t="n"/>
      <c r="BG28" s="700" t="n"/>
      <c r="BH28" s="700" t="n"/>
      <c r="BI28" s="701" t="n"/>
      <c r="BJ28" s="701" t="n"/>
      <c r="BK28" s="701" t="n"/>
      <c r="BL28" s="701" t="n"/>
      <c r="BM28" s="701" t="n"/>
      <c r="BN28" s="701" t="n"/>
      <c r="BO28" s="701" t="n"/>
      <c r="BP28" s="701" t="n"/>
      <c r="BQ28" s="701" t="n"/>
      <c r="BR28" s="701" t="n"/>
      <c r="BS28" s="703" t="n"/>
    </row>
    <row r="29" customFormat="1" s="3">
      <c r="A29" s="696" t="inlineStr">
        <is>
          <t>Gross Profit</t>
        </is>
      </c>
      <c r="B29" s="702" t="n"/>
      <c r="C29" s="699">
        <f>C22-C27</f>
        <v/>
      </c>
      <c r="D29" s="699">
        <f>D22-D27</f>
        <v/>
      </c>
      <c r="E29" s="699">
        <f>E22-E27</f>
        <v/>
      </c>
      <c r="F29" s="699">
        <f>F22-F27</f>
        <v/>
      </c>
      <c r="G29" s="699">
        <f>G22-G27</f>
        <v/>
      </c>
      <c r="H29" s="699">
        <f>H22-H27</f>
        <v/>
      </c>
      <c r="I29" s="699">
        <f>I22-I27</f>
        <v/>
      </c>
      <c r="J29" s="699">
        <f>J22-J27</f>
        <v/>
      </c>
      <c r="K29" s="699">
        <f>K22-K27</f>
        <v/>
      </c>
      <c r="L29" s="699">
        <f>L22-L27</f>
        <v/>
      </c>
      <c r="M29" s="699">
        <f>M22-M27</f>
        <v/>
      </c>
      <c r="N29" s="699">
        <f>N22-N27</f>
        <v/>
      </c>
      <c r="O29" s="699">
        <f>O22-O27</f>
        <v/>
      </c>
      <c r="P29" s="703" t="n"/>
      <c r="Q29" s="699">
        <f>Q22-Q27</f>
        <v/>
      </c>
      <c r="R29" s="699">
        <f>R22-R27</f>
        <v/>
      </c>
      <c r="S29" s="699">
        <f>S22-S27</f>
        <v/>
      </c>
      <c r="T29" s="699">
        <f>T22-T27</f>
        <v/>
      </c>
      <c r="U29" s="699">
        <f>U22-U27</f>
        <v/>
      </c>
      <c r="V29" s="699">
        <f>V22-V27</f>
        <v/>
      </c>
      <c r="W29" s="699">
        <f>W22-W27</f>
        <v/>
      </c>
      <c r="X29" s="699">
        <f>X22-X27</f>
        <v/>
      </c>
      <c r="Y29" s="699">
        <f>Y22-Y27</f>
        <v/>
      </c>
      <c r="Z29" s="699">
        <f>Z22-Z27</f>
        <v/>
      </c>
      <c r="AA29" s="699">
        <f>AA22-AA27</f>
        <v/>
      </c>
      <c r="AB29" s="699">
        <f>AB22-AB27</f>
        <v/>
      </c>
      <c r="AC29" s="699">
        <f>AC22-AC27</f>
        <v/>
      </c>
      <c r="AD29" s="705" t="n"/>
      <c r="AE29" s="699">
        <f>AE22-AE27</f>
        <v/>
      </c>
      <c r="AF29" s="699">
        <f>AF22-AF27</f>
        <v/>
      </c>
      <c r="AG29" s="699">
        <f>AG22-AG27</f>
        <v/>
      </c>
      <c r="AH29" s="699">
        <f>AH22-AH27</f>
        <v/>
      </c>
      <c r="AI29" s="699">
        <f>AI22-AI27</f>
        <v/>
      </c>
      <c r="AJ29" s="699">
        <f>AJ22-AJ27</f>
        <v/>
      </c>
      <c r="AK29" s="699">
        <f>AK22-AK27</f>
        <v/>
      </c>
      <c r="AL29" s="699">
        <f>AL22-AL27</f>
        <v/>
      </c>
      <c r="AM29" s="699">
        <f>AM22-AM27</f>
        <v/>
      </c>
      <c r="AN29" s="699">
        <f>AN22-AN27</f>
        <v/>
      </c>
      <c r="AO29" s="699">
        <f>AO22-AO27</f>
        <v/>
      </c>
      <c r="AP29" s="699">
        <f>AP22-AP27</f>
        <v/>
      </c>
      <c r="AQ29" s="699">
        <f>AQ22-AQ27</f>
        <v/>
      </c>
      <c r="AR29" s="699" t="n"/>
      <c r="AS29" s="699">
        <f>AS22-AS27</f>
        <v/>
      </c>
      <c r="AT29" s="699">
        <f>AT22-AT27</f>
        <v/>
      </c>
      <c r="AU29" s="699">
        <f>AU22-AU27</f>
        <v/>
      </c>
      <c r="AV29" s="699">
        <f>AV22-AV27</f>
        <v/>
      </c>
      <c r="AW29" s="699">
        <f>AW22-AW27</f>
        <v/>
      </c>
      <c r="AX29" s="699">
        <f>AX22-AX27</f>
        <v/>
      </c>
      <c r="AY29" s="699">
        <f>AY22-AY27</f>
        <v/>
      </c>
      <c r="AZ29" s="699">
        <f>AZ22-AZ27</f>
        <v/>
      </c>
      <c r="BA29" s="699">
        <f>BA22-BA27</f>
        <v/>
      </c>
      <c r="BB29" s="699">
        <f>BB22-BB27</f>
        <v/>
      </c>
      <c r="BC29" s="699">
        <f>BC22-BC27</f>
        <v/>
      </c>
      <c r="BD29" s="699">
        <f>BD22-BD27</f>
        <v/>
      </c>
      <c r="BE29" s="699">
        <f>BE22-BE27</f>
        <v/>
      </c>
      <c r="BF29" s="699" t="n"/>
      <c r="BG29" s="699">
        <f>BG22-BG27</f>
        <v/>
      </c>
      <c r="BH29" s="699">
        <f>BH22-BH27</f>
        <v/>
      </c>
      <c r="BI29" s="699">
        <f>BI22-BI27</f>
        <v/>
      </c>
      <c r="BJ29" s="699">
        <f>BJ22-BJ27</f>
        <v/>
      </c>
      <c r="BK29" s="699">
        <f>BK22-BK27</f>
        <v/>
      </c>
      <c r="BL29" s="699">
        <f>BL22-BL27</f>
        <v/>
      </c>
      <c r="BM29" s="699">
        <f>BM22-BM27</f>
        <v/>
      </c>
      <c r="BN29" s="699">
        <f>BN22-BN27</f>
        <v/>
      </c>
      <c r="BO29" s="699">
        <f>BO22-BO27</f>
        <v/>
      </c>
      <c r="BP29" s="699">
        <f>BP22-BP27</f>
        <v/>
      </c>
      <c r="BQ29" s="699">
        <f>BQ22-BQ27</f>
        <v/>
      </c>
      <c r="BR29" s="699">
        <f>BR22-BR27</f>
        <v/>
      </c>
      <c r="BS29" s="699">
        <f>BS22-BS27</f>
        <v/>
      </c>
    </row>
    <row r="30">
      <c r="A30" s="697" t="n"/>
      <c r="B30" s="693" t="n"/>
      <c r="C30" s="693" t="n"/>
      <c r="D30" s="693" t="n"/>
      <c r="E30" s="693" t="n"/>
      <c r="F30" s="693" t="n"/>
      <c r="G30" s="693" t="n"/>
      <c r="H30" s="693" t="n"/>
      <c r="I30" s="693" t="n"/>
      <c r="J30" s="693" t="n"/>
      <c r="K30" s="693" t="n"/>
      <c r="L30" s="693" t="n"/>
      <c r="M30" s="693" t="n"/>
      <c r="N30" s="693" t="n"/>
      <c r="O30" s="702" t="n"/>
      <c r="P30" s="700" t="n"/>
      <c r="Q30" s="700" t="n"/>
      <c r="R30" s="700" t="n"/>
      <c r="S30" s="701" t="n"/>
      <c r="T30" s="701" t="n"/>
      <c r="U30" s="701" t="n"/>
      <c r="V30" s="701" t="n"/>
      <c r="W30" s="701" t="n"/>
      <c r="X30" s="701" t="n"/>
      <c r="Y30" s="701" t="n"/>
      <c r="Z30" s="701" t="n"/>
      <c r="AA30" s="701" t="n"/>
      <c r="AB30" s="701" t="n"/>
      <c r="AC30" s="703" t="n"/>
      <c r="AD30" s="701" t="n"/>
      <c r="AE30" s="700" t="n"/>
      <c r="AF30" s="700" t="n"/>
      <c r="AG30" s="701" t="n"/>
      <c r="AH30" s="701" t="n"/>
      <c r="AI30" s="701" t="n"/>
      <c r="AJ30" s="701" t="n"/>
      <c r="AK30" s="701" t="n"/>
      <c r="AL30" s="701" t="n"/>
      <c r="AM30" s="701" t="n"/>
      <c r="AN30" s="701" t="n"/>
      <c r="AO30" s="701" t="n"/>
      <c r="AP30" s="701" t="n"/>
      <c r="AQ30" s="703" t="n"/>
      <c r="AR30" s="703" t="n"/>
      <c r="AS30" s="700" t="n"/>
      <c r="AT30" s="700" t="n"/>
      <c r="AU30" s="701" t="n"/>
      <c r="AV30" s="701" t="n"/>
      <c r="AW30" s="701" t="n"/>
      <c r="AX30" s="701" t="n"/>
      <c r="AY30" s="701" t="n"/>
      <c r="AZ30" s="701" t="n"/>
      <c r="BA30" s="701" t="n"/>
      <c r="BB30" s="701" t="n"/>
      <c r="BC30" s="701" t="n"/>
      <c r="BD30" s="701" t="n"/>
      <c r="BE30" s="703" t="n"/>
      <c r="BF30" s="703" t="n"/>
      <c r="BG30" s="700" t="n"/>
      <c r="BH30" s="700" t="n"/>
      <c r="BI30" s="701" t="n"/>
      <c r="BJ30" s="701" t="n"/>
      <c r="BK30" s="701" t="n"/>
      <c r="BL30" s="701" t="n"/>
      <c r="BM30" s="701" t="n"/>
      <c r="BN30" s="701" t="n"/>
      <c r="BO30" s="701" t="n"/>
      <c r="BP30" s="701" t="n"/>
      <c r="BQ30" s="701" t="n"/>
      <c r="BR30" s="701" t="n"/>
      <c r="BS30" s="703" t="n"/>
    </row>
    <row r="31">
      <c r="A31" s="696" t="inlineStr">
        <is>
          <t>Expenses</t>
        </is>
      </c>
      <c r="B31" s="698" t="n"/>
      <c r="C31" s="693" t="n"/>
      <c r="D31" s="693" t="n"/>
      <c r="E31" s="693" t="n"/>
      <c r="F31" s="693" t="n"/>
      <c r="G31" s="693" t="n"/>
      <c r="H31" s="693" t="n"/>
      <c r="I31" s="693" t="n"/>
      <c r="J31" s="693" t="n"/>
      <c r="K31" s="693" t="n"/>
      <c r="L31" s="693" t="n"/>
      <c r="M31" s="693" t="n"/>
      <c r="N31" s="693" t="n"/>
      <c r="O31" s="702" t="n"/>
      <c r="P31" s="700" t="n"/>
      <c r="Q31" s="700" t="n"/>
      <c r="R31" s="700" t="n"/>
      <c r="S31" s="701" t="n"/>
      <c r="T31" s="701" t="n"/>
      <c r="U31" s="701" t="n"/>
      <c r="V31" s="701" t="n"/>
      <c r="W31" s="701" t="n"/>
      <c r="X31" s="701" t="n"/>
      <c r="Y31" s="701" t="n"/>
      <c r="Z31" s="701" t="n"/>
      <c r="AA31" s="701" t="n"/>
      <c r="AB31" s="701" t="n"/>
      <c r="AC31" s="703" t="n"/>
      <c r="AD31" s="701" t="n"/>
      <c r="AE31" s="700" t="n"/>
      <c r="AF31" s="700" t="n"/>
      <c r="AG31" s="701" t="n"/>
      <c r="AH31" s="701" t="n"/>
      <c r="AI31" s="701" t="n"/>
      <c r="AJ31" s="701" t="n"/>
      <c r="AK31" s="701" t="n"/>
      <c r="AL31" s="701" t="n"/>
      <c r="AM31" s="701" t="n"/>
      <c r="AN31" s="701" t="n"/>
      <c r="AO31" s="701" t="n"/>
      <c r="AP31" s="701" t="n"/>
      <c r="AQ31" s="703" t="n"/>
      <c r="AR31" s="703" t="n"/>
      <c r="AS31" s="700" t="n"/>
      <c r="AT31" s="700" t="n"/>
      <c r="AU31" s="701" t="n"/>
      <c r="AV31" s="701" t="n"/>
      <c r="AW31" s="701" t="n"/>
      <c r="AX31" s="701" t="n"/>
      <c r="AY31" s="701" t="n"/>
      <c r="AZ31" s="701" t="n"/>
      <c r="BA31" s="701" t="n"/>
      <c r="BB31" s="701" t="n"/>
      <c r="BC31" s="701" t="n"/>
      <c r="BD31" s="701" t="n"/>
      <c r="BE31" s="703" t="n"/>
      <c r="BF31" s="703" t="n"/>
      <c r="BG31" s="700" t="n"/>
      <c r="BH31" s="700" t="n"/>
      <c r="BI31" s="701" t="n"/>
      <c r="BJ31" s="701" t="n"/>
      <c r="BK31" s="701" t="n"/>
      <c r="BL31" s="701" t="n"/>
      <c r="BM31" s="701" t="n"/>
      <c r="BN31" s="701" t="n"/>
      <c r="BO31" s="701" t="n"/>
      <c r="BP31" s="701" t="n"/>
      <c r="BQ31" s="701" t="n"/>
      <c r="BR31" s="701" t="n"/>
      <c r="BS31" s="703" t="n"/>
    </row>
    <row r="32">
      <c r="A32" s="697" t="inlineStr">
        <is>
          <t>Salaries</t>
        </is>
      </c>
      <c r="B32" s="698">
        <f>SUMIF('TB Mnthly'!$A:$A,'PnL Mnthly'!$A32,'TB Mnthly'!C:C)</f>
        <v/>
      </c>
      <c r="C32" s="698">
        <f>SUMIF('TB Mnthly'!$A:$A,'PnL Mnthly'!$A32,'TB Mnthly'!D:D)</f>
        <v/>
      </c>
      <c r="D32" s="698">
        <f>SUMIF('TB Mnthly'!$A:$A,'PnL Mnthly'!$A32,'TB Mnthly'!E:E)</f>
        <v/>
      </c>
      <c r="E32" s="698">
        <f>SUMIF('TB Mnthly'!$A:$A,'PnL Mnthly'!$A32,'TB Mnthly'!F:F)</f>
        <v/>
      </c>
      <c r="F32" s="698">
        <f>SUMIF('TB Mnthly'!$A:$A,'PnL Mnthly'!$A32,'TB Mnthly'!G:G)</f>
        <v/>
      </c>
      <c r="G32" s="698">
        <f>SUMIF('TB Mnthly'!$A:$A,'PnL Mnthly'!$A32,'TB Mnthly'!H:H)</f>
        <v/>
      </c>
      <c r="H32" s="698">
        <f>SUMIF('TB Mnthly'!$A:$A,'PnL Mnthly'!$A32,'TB Mnthly'!I:I)</f>
        <v/>
      </c>
      <c r="I32" s="698">
        <f>SUMIF('TB Mnthly'!$A:$A,'PnL Mnthly'!$A32,'TB Mnthly'!J:J)</f>
        <v/>
      </c>
      <c r="J32" s="698">
        <f>SUMIF('TB Mnthly'!$A:$A,'PnL Mnthly'!$A32,'TB Mnthly'!K:K)</f>
        <v/>
      </c>
      <c r="K32" s="698">
        <f>SUMIF('TB Mnthly'!$A:$A,'PnL Mnthly'!$A32,'TB Mnthly'!L:L)</f>
        <v/>
      </c>
      <c r="L32" s="698">
        <f>SUMIF('TB Mnthly'!$A:$A,'PnL Mnthly'!$A32,'TB Mnthly'!M:M)</f>
        <v/>
      </c>
      <c r="M32" s="698">
        <f>SUMIF('TB Mnthly'!$A:$A,'PnL Mnthly'!$A32,'TB Mnthly'!N:N)</f>
        <v/>
      </c>
      <c r="N32" s="698">
        <f>SUMIF('TB Mnthly'!$A:$A,'PnL Mnthly'!$A32,'TB Mnthly'!O:O)</f>
        <v/>
      </c>
      <c r="O32" s="699">
        <f>SUM(B32:N32)</f>
        <v/>
      </c>
      <c r="P32" s="700" t="n"/>
      <c r="Q32" s="698">
        <f>SUMIF('TB Mnthly'!$A:$A,'PnL Mnthly'!$A32,'TB Mnthly'!R:R)</f>
        <v/>
      </c>
      <c r="R32" s="698">
        <f>SUMIF('TB Mnthly'!$A:$A,'PnL Mnthly'!$A32,'TB Mnthly'!S:S)</f>
        <v/>
      </c>
      <c r="S32" s="698">
        <f>SUMIF('TB Mnthly'!$A:$A,'PnL Mnthly'!$A32,'TB Mnthly'!T:T)</f>
        <v/>
      </c>
      <c r="T32" s="698">
        <f>SUMIF('TB Mnthly'!$A:$A,'PnL Mnthly'!$A32,'TB Mnthly'!U:U)</f>
        <v/>
      </c>
      <c r="U32" s="698">
        <f>SUMIF('TB Mnthly'!$A:$A,'PnL Mnthly'!$A32,'TB Mnthly'!V:V)</f>
        <v/>
      </c>
      <c r="V32" s="698">
        <f>SUMIF('TB Mnthly'!$A:$A,'PnL Mnthly'!$A32,'TB Mnthly'!W:W)</f>
        <v/>
      </c>
      <c r="W32" s="698">
        <f>SUMIF('TB Mnthly'!$A:$A,'PnL Mnthly'!$A32,'TB Mnthly'!X:X)</f>
        <v/>
      </c>
      <c r="X32" s="698">
        <f>SUMIF('TB Mnthly'!$A:$A,'PnL Mnthly'!$A32,'TB Mnthly'!Y:Y)</f>
        <v/>
      </c>
      <c r="Y32" s="698">
        <f>SUMIF('TB Mnthly'!$A:$A,'PnL Mnthly'!$A32,'TB Mnthly'!Z:Z)</f>
        <v/>
      </c>
      <c r="Z32" s="698">
        <f>SUMIF('TB Mnthly'!$A:$A,'PnL Mnthly'!$A32,'TB Mnthly'!AA:AA)</f>
        <v/>
      </c>
      <c r="AA32" s="698">
        <f>SUMIF('TB Mnthly'!$A:$A,'PnL Mnthly'!$A32,'TB Mnthly'!AB:AB)</f>
        <v/>
      </c>
      <c r="AB32" s="698">
        <f>SUMIF('TB Mnthly'!$A:$A,'PnL Mnthly'!$A32,'TB Mnthly'!AC:AC)</f>
        <v/>
      </c>
      <c r="AC32" s="699">
        <f>SUM(P32:AB32)</f>
        <v/>
      </c>
      <c r="AD32" s="701" t="n"/>
      <c r="AE32" s="698">
        <f>SUMIF('TB Mnthly'!$A:$A,'PnL Mnthly'!$A32,'TB Mnthly'!AF:AF)</f>
        <v/>
      </c>
      <c r="AF32" s="698">
        <f>SUMIF('TB Mnthly'!$A:$A,'PnL Mnthly'!$A32,'TB Mnthly'!AG:AG)</f>
        <v/>
      </c>
      <c r="AG32" s="698">
        <f>SUMIF('TB Mnthly'!$A:$A,'PnL Mnthly'!$A32,'TB Mnthly'!AH:AH)</f>
        <v/>
      </c>
      <c r="AH32" s="698">
        <f>SUMIF('TB Mnthly'!$A:$A,'PnL Mnthly'!$A32,'TB Mnthly'!AI:AI)</f>
        <v/>
      </c>
      <c r="AI32" s="698">
        <f>SUMIF('TB Mnthly'!$A:$A,'PnL Mnthly'!$A32,'TB Mnthly'!AJ:AJ)</f>
        <v/>
      </c>
      <c r="AJ32" s="698">
        <f>SUMIF('TB Mnthly'!$A:$A,'PnL Mnthly'!$A32,'TB Mnthly'!AK:AK)</f>
        <v/>
      </c>
      <c r="AK32" s="698">
        <f>SUMIF('TB Mnthly'!$A:$A,'PnL Mnthly'!$A32,'TB Mnthly'!AL:AL)</f>
        <v/>
      </c>
      <c r="AL32" s="698">
        <f>SUMIF('TB Mnthly'!$A:$A,'PnL Mnthly'!$A32,'TB Mnthly'!AM:AM)</f>
        <v/>
      </c>
      <c r="AM32" s="698">
        <f>SUMIF('TB Mnthly'!$A:$A,'PnL Mnthly'!$A32,'TB Mnthly'!AN:AN)</f>
        <v/>
      </c>
      <c r="AN32" s="698">
        <f>SUMIF('TB Mnthly'!$A:$A,'PnL Mnthly'!$A32,'TB Mnthly'!AO:AO)</f>
        <v/>
      </c>
      <c r="AO32" s="698">
        <f>SUMIF('TB Mnthly'!$A:$A,'PnL Mnthly'!$A32,'TB Mnthly'!AP:AP)</f>
        <v/>
      </c>
      <c r="AP32" s="698">
        <f>SUMIF('TB Mnthly'!$A:$A,'PnL Mnthly'!$A32,'TB Mnthly'!AQ:AQ)</f>
        <v/>
      </c>
      <c r="AQ32" s="699">
        <f>SUM(AD32:AP32)</f>
        <v/>
      </c>
      <c r="AR32" s="699" t="n"/>
      <c r="AS32" s="698">
        <f>SUMIF('TB Mnthly'!$A:$A,'PnL Mnthly'!$A32,'TB Mnthly'!AT:AT)</f>
        <v/>
      </c>
      <c r="AT32" s="698">
        <f>SUMIF('TB Mnthly'!$A:$A,'PnL Mnthly'!$A32,'TB Mnthly'!AU:AU)</f>
        <v/>
      </c>
      <c r="AU32" s="698">
        <f>SUMIF('TB Mnthly'!$A:$A,'PnL Mnthly'!$A32,'TB Mnthly'!AV:AV)</f>
        <v/>
      </c>
      <c r="AV32" s="698">
        <f>SUMIF('TB Mnthly'!$A:$A,'PnL Mnthly'!$A32,'TB Mnthly'!AW:AW)</f>
        <v/>
      </c>
      <c r="AW32" s="698">
        <f>SUMIF('TB Mnthly'!$A:$A,'PnL Mnthly'!$A32,'TB Mnthly'!AX:AX)</f>
        <v/>
      </c>
      <c r="AX32" s="698">
        <f>SUMIF('TB Mnthly'!$A:$A,'PnL Mnthly'!$A32,'TB Mnthly'!AY:AY)</f>
        <v/>
      </c>
      <c r="AY32" s="698">
        <f>SUMIF('TB Mnthly'!$A:$A,'PnL Mnthly'!$A32,'TB Mnthly'!AZ:AZ)</f>
        <v/>
      </c>
      <c r="AZ32" s="698">
        <f>SUMIF('TB Mnthly'!$A:$A,'PnL Mnthly'!$A32,'TB Mnthly'!BA:BA)</f>
        <v/>
      </c>
      <c r="BA32" s="698">
        <f>SUMIF('TB Mnthly'!$A:$A,'PnL Mnthly'!$A32,'TB Mnthly'!BB:BB)</f>
        <v/>
      </c>
      <c r="BB32" s="698">
        <f>SUMIF('TB Mnthly'!$A:$A,'PnL Mnthly'!$A32,'TB Mnthly'!BC:BC)</f>
        <v/>
      </c>
      <c r="BC32" s="698">
        <f>SUMIF('TB Mnthly'!$A:$A,'PnL Mnthly'!$A32,'TB Mnthly'!BD:BD)</f>
        <v/>
      </c>
      <c r="BD32" s="698">
        <f>SUMIF('TB Mnthly'!$A:$A,'PnL Mnthly'!$A32,'TB Mnthly'!BE:BE)</f>
        <v/>
      </c>
      <c r="BE32" s="699">
        <f>SUM(AR32:BD32)</f>
        <v/>
      </c>
      <c r="BF32" s="699" t="n"/>
      <c r="BG32" s="698">
        <f>SUMIF('TB Mnthly'!$A:$A,'PnL Mnthly'!$A32,'TB Mnthly'!BH:BH)</f>
        <v/>
      </c>
      <c r="BH32" s="698">
        <f>SUMIF('TB Mnthly'!$A:$A,'PnL Mnthly'!$A32,'TB Mnthly'!BI:BI)</f>
        <v/>
      </c>
      <c r="BI32" s="698">
        <f>SUMIF('TB Mnthly'!$A:$A,'PnL Mnthly'!$A32,'TB Mnthly'!BJ:BJ)</f>
        <v/>
      </c>
      <c r="BJ32" s="698">
        <f>SUMIF('TB Mnthly'!$A:$A,'PnL Mnthly'!$A32,'TB Mnthly'!BK:BK)</f>
        <v/>
      </c>
      <c r="BK32" s="698">
        <f>SUMIF('TB Mnthly'!$A:$A,'PnL Mnthly'!$A32,'TB Mnthly'!BL:BL)</f>
        <v/>
      </c>
      <c r="BL32" s="698">
        <f>SUMIF('TB Mnthly'!$A:$A,'PnL Mnthly'!$A32,'TB Mnthly'!BM:BM)</f>
        <v/>
      </c>
      <c r="BM32" s="698">
        <f>SUMIF('TB Mnthly'!$A:$A,'PnL Mnthly'!$A32,'TB Mnthly'!BN:BN)</f>
        <v/>
      </c>
      <c r="BN32" s="698">
        <f>SUMIF('TB Mnthly'!$A:$A,'PnL Mnthly'!$A32,'TB Mnthly'!BO:BO)</f>
        <v/>
      </c>
      <c r="BO32" s="698">
        <f>SUMIF('TB Mnthly'!$A:$A,'PnL Mnthly'!$A32,'TB Mnthly'!BP:BP)</f>
        <v/>
      </c>
      <c r="BP32" s="698">
        <f>SUMIF('TB Mnthly'!$A:$A,'PnL Mnthly'!$A32,'TB Mnthly'!BQ:BQ)</f>
        <v/>
      </c>
      <c r="BQ32" s="698">
        <f>SUMIF('TB Mnthly'!$A:$A,'PnL Mnthly'!$A32,'TB Mnthly'!BR:BR)</f>
        <v/>
      </c>
      <c r="BR32" s="698">
        <f>SUMIF('TB Mnthly'!$A:$A,'PnL Mnthly'!$A32,'TB Mnthly'!BS:BS)</f>
        <v/>
      </c>
      <c r="BS32" s="699">
        <f>SUM(BF32:BR32)</f>
        <v/>
      </c>
    </row>
    <row r="33">
      <c r="A33" s="697" t="inlineStr">
        <is>
          <t>Customer Service</t>
        </is>
      </c>
      <c r="B33" s="698">
        <f>SUMIF('TB Mnthly'!$A:$A,'PnL Mnthly'!$A33,'TB Mnthly'!C:C)</f>
        <v/>
      </c>
      <c r="C33" s="698">
        <f>SUMIF('TB Mnthly'!$A:$A,'PnL Mnthly'!$A33,'TB Mnthly'!D:D)</f>
        <v/>
      </c>
      <c r="D33" s="698">
        <f>SUMIF('TB Mnthly'!$A:$A,'PnL Mnthly'!$A33,'TB Mnthly'!E:E)</f>
        <v/>
      </c>
      <c r="E33" s="698">
        <f>SUMIF('TB Mnthly'!$A:$A,'PnL Mnthly'!$A33,'TB Mnthly'!F:F)</f>
        <v/>
      </c>
      <c r="F33" s="698">
        <f>SUMIF('TB Mnthly'!$A:$A,'PnL Mnthly'!$A33,'TB Mnthly'!G:G)</f>
        <v/>
      </c>
      <c r="G33" s="698">
        <f>SUMIF('TB Mnthly'!$A:$A,'PnL Mnthly'!$A33,'TB Mnthly'!H:H)</f>
        <v/>
      </c>
      <c r="H33" s="698">
        <f>SUMIF('TB Mnthly'!$A:$A,'PnL Mnthly'!$A33,'TB Mnthly'!I:I)</f>
        <v/>
      </c>
      <c r="I33" s="698">
        <f>SUMIF('TB Mnthly'!$A:$A,'PnL Mnthly'!$A33,'TB Mnthly'!J:J)</f>
        <v/>
      </c>
      <c r="J33" s="698">
        <f>SUMIF('TB Mnthly'!$A:$A,'PnL Mnthly'!$A33,'TB Mnthly'!K:K)</f>
        <v/>
      </c>
      <c r="K33" s="698">
        <f>SUMIF('TB Mnthly'!$A:$A,'PnL Mnthly'!$A33,'TB Mnthly'!L:L)</f>
        <v/>
      </c>
      <c r="L33" s="698">
        <f>SUMIF('TB Mnthly'!$A:$A,'PnL Mnthly'!$A33,'TB Mnthly'!M:M)</f>
        <v/>
      </c>
      <c r="M33" s="698">
        <f>SUMIF('TB Mnthly'!$A:$A,'PnL Mnthly'!$A33,'TB Mnthly'!N:N)</f>
        <v/>
      </c>
      <c r="N33" s="698">
        <f>SUMIF('TB Mnthly'!$A:$A,'PnL Mnthly'!$A33,'TB Mnthly'!O:O)</f>
        <v/>
      </c>
      <c r="O33" s="699">
        <f>SUM(B33:N33)</f>
        <v/>
      </c>
      <c r="P33" s="700" t="n"/>
      <c r="Q33" s="698">
        <f>SUMIF('TB Mnthly'!$A:$A,'PnL Mnthly'!$A33,'TB Mnthly'!R:R)</f>
        <v/>
      </c>
      <c r="R33" s="698">
        <f>SUMIF('TB Mnthly'!$A:$A,'PnL Mnthly'!$A33,'TB Mnthly'!S:S)</f>
        <v/>
      </c>
      <c r="S33" s="698">
        <f>SUMIF('TB Mnthly'!$A:$A,'PnL Mnthly'!$A33,'TB Mnthly'!T:T)</f>
        <v/>
      </c>
      <c r="T33" s="698">
        <f>SUMIF('TB Mnthly'!$A:$A,'PnL Mnthly'!$A33,'TB Mnthly'!U:U)</f>
        <v/>
      </c>
      <c r="U33" s="698">
        <f>SUMIF('TB Mnthly'!$A:$A,'PnL Mnthly'!$A33,'TB Mnthly'!V:V)</f>
        <v/>
      </c>
      <c r="V33" s="698">
        <f>SUMIF('TB Mnthly'!$A:$A,'PnL Mnthly'!$A33,'TB Mnthly'!W:W)</f>
        <v/>
      </c>
      <c r="W33" s="698">
        <f>SUMIF('TB Mnthly'!$A:$A,'PnL Mnthly'!$A33,'TB Mnthly'!X:X)</f>
        <v/>
      </c>
      <c r="X33" s="698">
        <f>SUMIF('TB Mnthly'!$A:$A,'PnL Mnthly'!$A33,'TB Mnthly'!Y:Y)</f>
        <v/>
      </c>
      <c r="Y33" s="698">
        <f>SUMIF('TB Mnthly'!$A:$A,'PnL Mnthly'!$A33,'TB Mnthly'!Z:Z)</f>
        <v/>
      </c>
      <c r="Z33" s="698">
        <f>SUMIF('TB Mnthly'!$A:$A,'PnL Mnthly'!$A33,'TB Mnthly'!AA:AA)</f>
        <v/>
      </c>
      <c r="AA33" s="698">
        <f>SUMIF('TB Mnthly'!$A:$A,'PnL Mnthly'!$A33,'TB Mnthly'!AB:AB)</f>
        <v/>
      </c>
      <c r="AB33" s="698">
        <f>SUMIF('TB Mnthly'!$A:$A,'PnL Mnthly'!$A33,'TB Mnthly'!AC:AC)</f>
        <v/>
      </c>
      <c r="AC33" s="699">
        <f>SUM(P33:AB33)</f>
        <v/>
      </c>
      <c r="AD33" s="701" t="n"/>
      <c r="AE33" s="698">
        <f>SUMIF('TB Mnthly'!$A:$A,'PnL Mnthly'!$A33,'TB Mnthly'!AF:AF)</f>
        <v/>
      </c>
      <c r="AF33" s="698">
        <f>SUMIF('TB Mnthly'!$A:$A,'PnL Mnthly'!$A33,'TB Mnthly'!AG:AG)</f>
        <v/>
      </c>
      <c r="AG33" s="698">
        <f>SUMIF('TB Mnthly'!$A:$A,'PnL Mnthly'!$A33,'TB Mnthly'!AH:AH)</f>
        <v/>
      </c>
      <c r="AH33" s="698">
        <f>SUMIF('TB Mnthly'!$A:$A,'PnL Mnthly'!$A33,'TB Mnthly'!AI:AI)</f>
        <v/>
      </c>
      <c r="AI33" s="698">
        <f>SUMIF('TB Mnthly'!$A:$A,'PnL Mnthly'!$A33,'TB Mnthly'!AJ:AJ)</f>
        <v/>
      </c>
      <c r="AJ33" s="698">
        <f>SUMIF('TB Mnthly'!$A:$A,'PnL Mnthly'!$A33,'TB Mnthly'!AK:AK)</f>
        <v/>
      </c>
      <c r="AK33" s="698">
        <f>SUMIF('TB Mnthly'!$A:$A,'PnL Mnthly'!$A33,'TB Mnthly'!AL:AL)</f>
        <v/>
      </c>
      <c r="AL33" s="698">
        <f>SUMIF('TB Mnthly'!$A:$A,'PnL Mnthly'!$A33,'TB Mnthly'!AM:AM)</f>
        <v/>
      </c>
      <c r="AM33" s="698">
        <f>SUMIF('TB Mnthly'!$A:$A,'PnL Mnthly'!$A33,'TB Mnthly'!AN:AN)</f>
        <v/>
      </c>
      <c r="AN33" s="698">
        <f>SUMIF('TB Mnthly'!$A:$A,'PnL Mnthly'!$A33,'TB Mnthly'!AO:AO)</f>
        <v/>
      </c>
      <c r="AO33" s="698">
        <f>SUMIF('TB Mnthly'!$A:$A,'PnL Mnthly'!$A33,'TB Mnthly'!AP:AP)</f>
        <v/>
      </c>
      <c r="AP33" s="698">
        <f>SUMIF('TB Mnthly'!$A:$A,'PnL Mnthly'!$A33,'TB Mnthly'!AQ:AQ)</f>
        <v/>
      </c>
      <c r="AQ33" s="699">
        <f>SUM(AD33:AP33)</f>
        <v/>
      </c>
      <c r="AR33" s="699" t="n"/>
      <c r="AS33" s="698">
        <f>SUMIF('TB Mnthly'!$A:$A,'PnL Mnthly'!$A33,'TB Mnthly'!AT:AT)</f>
        <v/>
      </c>
      <c r="AT33" s="698">
        <f>SUMIF('TB Mnthly'!$A:$A,'PnL Mnthly'!$A33,'TB Mnthly'!AU:AU)</f>
        <v/>
      </c>
      <c r="AU33" s="698">
        <f>SUMIF('TB Mnthly'!$A:$A,'PnL Mnthly'!$A33,'TB Mnthly'!AV:AV)</f>
        <v/>
      </c>
      <c r="AV33" s="698">
        <f>SUMIF('TB Mnthly'!$A:$A,'PnL Mnthly'!$A33,'TB Mnthly'!AW:AW)</f>
        <v/>
      </c>
      <c r="AW33" s="698">
        <f>SUMIF('TB Mnthly'!$A:$A,'PnL Mnthly'!$A33,'TB Mnthly'!AX:AX)</f>
        <v/>
      </c>
      <c r="AX33" s="698">
        <f>SUMIF('TB Mnthly'!$A:$A,'PnL Mnthly'!$A33,'TB Mnthly'!AY:AY)</f>
        <v/>
      </c>
      <c r="AY33" s="698">
        <f>SUMIF('TB Mnthly'!$A:$A,'PnL Mnthly'!$A33,'TB Mnthly'!AZ:AZ)</f>
        <v/>
      </c>
      <c r="AZ33" s="698">
        <f>SUMIF('TB Mnthly'!$A:$A,'PnL Mnthly'!$A33,'TB Mnthly'!BA:BA)</f>
        <v/>
      </c>
      <c r="BA33" s="698">
        <f>SUMIF('TB Mnthly'!$A:$A,'PnL Mnthly'!$A33,'TB Mnthly'!BB:BB)</f>
        <v/>
      </c>
      <c r="BB33" s="698">
        <f>SUMIF('TB Mnthly'!$A:$A,'PnL Mnthly'!$A33,'TB Mnthly'!BC:BC)</f>
        <v/>
      </c>
      <c r="BC33" s="698">
        <f>SUMIF('TB Mnthly'!$A:$A,'PnL Mnthly'!$A33,'TB Mnthly'!BD:BD)</f>
        <v/>
      </c>
      <c r="BD33" s="698">
        <f>SUMIF('TB Mnthly'!$A:$A,'PnL Mnthly'!$A33,'TB Mnthly'!BE:BE)</f>
        <v/>
      </c>
      <c r="BE33" s="699">
        <f>SUM(AR33:BD33)</f>
        <v/>
      </c>
      <c r="BF33" s="699" t="n"/>
      <c r="BG33" s="698">
        <f>SUMIF('TB Mnthly'!$A:$A,'PnL Mnthly'!$A33,'TB Mnthly'!BH:BH)</f>
        <v/>
      </c>
      <c r="BH33" s="698">
        <f>SUMIF('TB Mnthly'!$A:$A,'PnL Mnthly'!$A33,'TB Mnthly'!BI:BI)</f>
        <v/>
      </c>
      <c r="BI33" s="698">
        <f>SUMIF('TB Mnthly'!$A:$A,'PnL Mnthly'!$A33,'TB Mnthly'!BJ:BJ)</f>
        <v/>
      </c>
      <c r="BJ33" s="698">
        <f>SUMIF('TB Mnthly'!$A:$A,'PnL Mnthly'!$A33,'TB Mnthly'!BK:BK)</f>
        <v/>
      </c>
      <c r="BK33" s="698">
        <f>SUMIF('TB Mnthly'!$A:$A,'PnL Mnthly'!$A33,'TB Mnthly'!BL:BL)</f>
        <v/>
      </c>
      <c r="BL33" s="698">
        <f>SUMIF('TB Mnthly'!$A:$A,'PnL Mnthly'!$A33,'TB Mnthly'!BM:BM)</f>
        <v/>
      </c>
      <c r="BM33" s="698">
        <f>SUMIF('TB Mnthly'!$A:$A,'PnL Mnthly'!$A33,'TB Mnthly'!BN:BN)</f>
        <v/>
      </c>
      <c r="BN33" s="698">
        <f>SUMIF('TB Mnthly'!$A:$A,'PnL Mnthly'!$A33,'TB Mnthly'!BO:BO)</f>
        <v/>
      </c>
      <c r="BO33" s="698">
        <f>SUMIF('TB Mnthly'!$A:$A,'PnL Mnthly'!$A33,'TB Mnthly'!BP:BP)</f>
        <v/>
      </c>
      <c r="BP33" s="698">
        <f>SUMIF('TB Mnthly'!$A:$A,'PnL Mnthly'!$A33,'TB Mnthly'!BQ:BQ)</f>
        <v/>
      </c>
      <c r="BQ33" s="698">
        <f>SUMIF('TB Mnthly'!$A:$A,'PnL Mnthly'!$A33,'TB Mnthly'!BR:BR)</f>
        <v/>
      </c>
      <c r="BR33" s="698">
        <f>SUMIF('TB Mnthly'!$A:$A,'PnL Mnthly'!$A33,'TB Mnthly'!BS:BS)</f>
        <v/>
      </c>
      <c r="BS33" s="699">
        <f>SUM(BF33:BR33)</f>
        <v/>
      </c>
    </row>
    <row r="34">
      <c r="A34" s="697" t="inlineStr">
        <is>
          <t>Kiosk Staff</t>
        </is>
      </c>
      <c r="B34" s="698">
        <f>SUMIF('TB Mnthly'!$A:$A,'PnL Mnthly'!$A34,'TB Mnthly'!C:C)</f>
        <v/>
      </c>
      <c r="C34" s="698">
        <f>SUMIF('TB Mnthly'!$A:$A,'PnL Mnthly'!$A34,'TB Mnthly'!D:D)</f>
        <v/>
      </c>
      <c r="D34" s="698">
        <f>SUMIF('TB Mnthly'!$A:$A,'PnL Mnthly'!$A34,'TB Mnthly'!E:E)</f>
        <v/>
      </c>
      <c r="E34" s="698">
        <f>SUMIF('TB Mnthly'!$A:$A,'PnL Mnthly'!$A34,'TB Mnthly'!F:F)</f>
        <v/>
      </c>
      <c r="F34" s="698">
        <f>SUMIF('TB Mnthly'!$A:$A,'PnL Mnthly'!$A34,'TB Mnthly'!G:G)</f>
        <v/>
      </c>
      <c r="G34" s="698">
        <f>SUMIF('TB Mnthly'!$A:$A,'PnL Mnthly'!$A34,'TB Mnthly'!H:H)</f>
        <v/>
      </c>
      <c r="H34" s="698">
        <f>SUMIF('TB Mnthly'!$A:$A,'PnL Mnthly'!$A34,'TB Mnthly'!I:I)</f>
        <v/>
      </c>
      <c r="I34" s="698">
        <f>SUMIF('TB Mnthly'!$A:$A,'PnL Mnthly'!$A34,'TB Mnthly'!J:J)</f>
        <v/>
      </c>
      <c r="J34" s="698">
        <f>SUMIF('TB Mnthly'!$A:$A,'PnL Mnthly'!$A34,'TB Mnthly'!K:K)</f>
        <v/>
      </c>
      <c r="K34" s="698">
        <f>SUMIF('TB Mnthly'!$A:$A,'PnL Mnthly'!$A34,'TB Mnthly'!L:L)</f>
        <v/>
      </c>
      <c r="L34" s="698">
        <f>SUMIF('TB Mnthly'!$A:$A,'PnL Mnthly'!$A34,'TB Mnthly'!M:M)</f>
        <v/>
      </c>
      <c r="M34" s="698">
        <f>SUMIF('TB Mnthly'!$A:$A,'PnL Mnthly'!$A34,'TB Mnthly'!N:N)</f>
        <v/>
      </c>
      <c r="N34" s="698">
        <f>SUMIF('TB Mnthly'!$A:$A,'PnL Mnthly'!$A34,'TB Mnthly'!O:O)</f>
        <v/>
      </c>
      <c r="O34" s="699">
        <f>SUM(B34:N34)</f>
        <v/>
      </c>
      <c r="P34" s="700" t="n"/>
      <c r="Q34" s="698">
        <f>SUMIF('TB Mnthly'!$A:$A,'PnL Mnthly'!$A34,'TB Mnthly'!R:R)</f>
        <v/>
      </c>
      <c r="R34" s="698">
        <f>SUMIF('TB Mnthly'!$A:$A,'PnL Mnthly'!$A34,'TB Mnthly'!S:S)</f>
        <v/>
      </c>
      <c r="S34" s="698">
        <f>SUMIF('TB Mnthly'!$A:$A,'PnL Mnthly'!$A34,'TB Mnthly'!T:T)</f>
        <v/>
      </c>
      <c r="T34" s="698">
        <f>SUMIF('TB Mnthly'!$A:$A,'PnL Mnthly'!$A34,'TB Mnthly'!U:U)</f>
        <v/>
      </c>
      <c r="U34" s="698">
        <f>SUMIF('TB Mnthly'!$A:$A,'PnL Mnthly'!$A34,'TB Mnthly'!V:V)</f>
        <v/>
      </c>
      <c r="V34" s="698">
        <f>SUMIF('TB Mnthly'!$A:$A,'PnL Mnthly'!$A34,'TB Mnthly'!W:W)</f>
        <v/>
      </c>
      <c r="W34" s="698">
        <f>SUMIF('TB Mnthly'!$A:$A,'PnL Mnthly'!$A34,'TB Mnthly'!X:X)</f>
        <v/>
      </c>
      <c r="X34" s="698">
        <f>SUMIF('TB Mnthly'!$A:$A,'PnL Mnthly'!$A34,'TB Mnthly'!Y:Y)</f>
        <v/>
      </c>
      <c r="Y34" s="698">
        <f>SUMIF('TB Mnthly'!$A:$A,'PnL Mnthly'!$A34,'TB Mnthly'!Z:Z)</f>
        <v/>
      </c>
      <c r="Z34" s="698">
        <f>SUMIF('TB Mnthly'!$A:$A,'PnL Mnthly'!$A34,'TB Mnthly'!AA:AA)</f>
        <v/>
      </c>
      <c r="AA34" s="698">
        <f>SUMIF('TB Mnthly'!$A:$A,'PnL Mnthly'!$A34,'TB Mnthly'!AB:AB)</f>
        <v/>
      </c>
      <c r="AB34" s="698">
        <f>SUMIF('TB Mnthly'!$A:$A,'PnL Mnthly'!$A34,'TB Mnthly'!AC:AC)</f>
        <v/>
      </c>
      <c r="AC34" s="699">
        <f>SUM(P34:AB34)</f>
        <v/>
      </c>
      <c r="AD34" s="701" t="n"/>
      <c r="AE34" s="698">
        <f>SUMIF('TB Mnthly'!$A:$A,'PnL Mnthly'!$A34,'TB Mnthly'!AF:AF)</f>
        <v/>
      </c>
      <c r="AF34" s="698">
        <f>SUMIF('TB Mnthly'!$A:$A,'PnL Mnthly'!$A34,'TB Mnthly'!AG:AG)</f>
        <v/>
      </c>
      <c r="AG34" s="698">
        <f>SUMIF('TB Mnthly'!$A:$A,'PnL Mnthly'!$A34,'TB Mnthly'!AH:AH)</f>
        <v/>
      </c>
      <c r="AH34" s="698">
        <f>SUMIF('TB Mnthly'!$A:$A,'PnL Mnthly'!$A34,'TB Mnthly'!AI:AI)</f>
        <v/>
      </c>
      <c r="AI34" s="698">
        <f>SUMIF('TB Mnthly'!$A:$A,'PnL Mnthly'!$A34,'TB Mnthly'!AJ:AJ)</f>
        <v/>
      </c>
      <c r="AJ34" s="698">
        <f>SUMIF('TB Mnthly'!$A:$A,'PnL Mnthly'!$A34,'TB Mnthly'!AK:AK)</f>
        <v/>
      </c>
      <c r="AK34" s="698">
        <f>SUMIF('TB Mnthly'!$A:$A,'PnL Mnthly'!$A34,'TB Mnthly'!AL:AL)</f>
        <v/>
      </c>
      <c r="AL34" s="698">
        <f>SUMIF('TB Mnthly'!$A:$A,'PnL Mnthly'!$A34,'TB Mnthly'!AM:AM)</f>
        <v/>
      </c>
      <c r="AM34" s="698">
        <f>SUMIF('TB Mnthly'!$A:$A,'PnL Mnthly'!$A34,'TB Mnthly'!AN:AN)</f>
        <v/>
      </c>
      <c r="AN34" s="698">
        <f>SUMIF('TB Mnthly'!$A:$A,'PnL Mnthly'!$A34,'TB Mnthly'!AO:AO)</f>
        <v/>
      </c>
      <c r="AO34" s="698">
        <f>SUMIF('TB Mnthly'!$A:$A,'PnL Mnthly'!$A34,'TB Mnthly'!AP:AP)</f>
        <v/>
      </c>
      <c r="AP34" s="698">
        <f>SUMIF('TB Mnthly'!$A:$A,'PnL Mnthly'!$A34,'TB Mnthly'!AQ:AQ)</f>
        <v/>
      </c>
      <c r="AQ34" s="699">
        <f>SUM(AD34:AP34)</f>
        <v/>
      </c>
      <c r="AR34" s="699" t="n"/>
      <c r="AS34" s="698">
        <f>SUMIF('TB Mnthly'!$A:$A,'PnL Mnthly'!$A34,'TB Mnthly'!AT:AT)</f>
        <v/>
      </c>
      <c r="AT34" s="698">
        <f>SUMIF('TB Mnthly'!$A:$A,'PnL Mnthly'!$A34,'TB Mnthly'!AU:AU)</f>
        <v/>
      </c>
      <c r="AU34" s="698">
        <f>SUMIF('TB Mnthly'!$A:$A,'PnL Mnthly'!$A34,'TB Mnthly'!AV:AV)</f>
        <v/>
      </c>
      <c r="AV34" s="698">
        <f>SUMIF('TB Mnthly'!$A:$A,'PnL Mnthly'!$A34,'TB Mnthly'!AW:AW)</f>
        <v/>
      </c>
      <c r="AW34" s="698">
        <f>SUMIF('TB Mnthly'!$A:$A,'PnL Mnthly'!$A34,'TB Mnthly'!AX:AX)</f>
        <v/>
      </c>
      <c r="AX34" s="698">
        <f>SUMIF('TB Mnthly'!$A:$A,'PnL Mnthly'!$A34,'TB Mnthly'!AY:AY)</f>
        <v/>
      </c>
      <c r="AY34" s="698">
        <f>SUMIF('TB Mnthly'!$A:$A,'PnL Mnthly'!$A34,'TB Mnthly'!AZ:AZ)</f>
        <v/>
      </c>
      <c r="AZ34" s="698">
        <f>SUMIF('TB Mnthly'!$A:$A,'PnL Mnthly'!$A34,'TB Mnthly'!BA:BA)</f>
        <v/>
      </c>
      <c r="BA34" s="698">
        <f>SUMIF('TB Mnthly'!$A:$A,'PnL Mnthly'!$A34,'TB Mnthly'!BB:BB)</f>
        <v/>
      </c>
      <c r="BB34" s="698">
        <f>SUMIF('TB Mnthly'!$A:$A,'PnL Mnthly'!$A34,'TB Mnthly'!BC:BC)</f>
        <v/>
      </c>
      <c r="BC34" s="698">
        <f>SUMIF('TB Mnthly'!$A:$A,'PnL Mnthly'!$A34,'TB Mnthly'!BD:BD)</f>
        <v/>
      </c>
      <c r="BD34" s="698">
        <f>SUMIF('TB Mnthly'!$A:$A,'PnL Mnthly'!$A34,'TB Mnthly'!BE:BE)</f>
        <v/>
      </c>
      <c r="BE34" s="699">
        <f>SUM(AR34:BD34)</f>
        <v/>
      </c>
      <c r="BF34" s="699" t="n"/>
      <c r="BG34" s="698">
        <f>SUMIF('TB Mnthly'!$A:$A,'PnL Mnthly'!$A34,'TB Mnthly'!BH:BH)</f>
        <v/>
      </c>
      <c r="BH34" s="698">
        <f>SUMIF('TB Mnthly'!$A:$A,'PnL Mnthly'!$A34,'TB Mnthly'!BI:BI)</f>
        <v/>
      </c>
      <c r="BI34" s="698">
        <f>SUMIF('TB Mnthly'!$A:$A,'PnL Mnthly'!$A34,'TB Mnthly'!BJ:BJ)</f>
        <v/>
      </c>
      <c r="BJ34" s="698">
        <f>SUMIF('TB Mnthly'!$A:$A,'PnL Mnthly'!$A34,'TB Mnthly'!BK:BK)</f>
        <v/>
      </c>
      <c r="BK34" s="698">
        <f>SUMIF('TB Mnthly'!$A:$A,'PnL Mnthly'!$A34,'TB Mnthly'!BL:BL)</f>
        <v/>
      </c>
      <c r="BL34" s="698">
        <f>SUMIF('TB Mnthly'!$A:$A,'PnL Mnthly'!$A34,'TB Mnthly'!BM:BM)</f>
        <v/>
      </c>
      <c r="BM34" s="698">
        <f>SUMIF('TB Mnthly'!$A:$A,'PnL Mnthly'!$A34,'TB Mnthly'!BN:BN)</f>
        <v/>
      </c>
      <c r="BN34" s="698">
        <f>SUMIF('TB Mnthly'!$A:$A,'PnL Mnthly'!$A34,'TB Mnthly'!BO:BO)</f>
        <v/>
      </c>
      <c r="BO34" s="698">
        <f>SUMIF('TB Mnthly'!$A:$A,'PnL Mnthly'!$A34,'TB Mnthly'!BP:BP)</f>
        <v/>
      </c>
      <c r="BP34" s="698">
        <f>SUMIF('TB Mnthly'!$A:$A,'PnL Mnthly'!$A34,'TB Mnthly'!BQ:BQ)</f>
        <v/>
      </c>
      <c r="BQ34" s="698">
        <f>SUMIF('TB Mnthly'!$A:$A,'PnL Mnthly'!$A34,'TB Mnthly'!BR:BR)</f>
        <v/>
      </c>
      <c r="BR34" s="698">
        <f>SUMIF('TB Mnthly'!$A:$A,'PnL Mnthly'!$A34,'TB Mnthly'!BS:BS)</f>
        <v/>
      </c>
      <c r="BS34" s="699">
        <f>SUM(BF34:BR34)</f>
        <v/>
      </c>
    </row>
    <row r="35">
      <c r="A35" s="697" t="inlineStr">
        <is>
          <t>Office Rent</t>
        </is>
      </c>
      <c r="B35" s="698">
        <f>SUMIF('TB Mnthly'!$A:$A,'PnL Mnthly'!$A35,'TB Mnthly'!C:C)</f>
        <v/>
      </c>
      <c r="C35" s="698">
        <f>SUMIF('TB Mnthly'!$A:$A,'PnL Mnthly'!$A35,'TB Mnthly'!D:D)</f>
        <v/>
      </c>
      <c r="D35" s="698">
        <f>SUMIF('TB Mnthly'!$A:$A,'PnL Mnthly'!$A35,'TB Mnthly'!E:E)</f>
        <v/>
      </c>
      <c r="E35" s="698">
        <f>SUMIF('TB Mnthly'!$A:$A,'PnL Mnthly'!$A35,'TB Mnthly'!F:F)</f>
        <v/>
      </c>
      <c r="F35" s="698">
        <f>SUMIF('TB Mnthly'!$A:$A,'PnL Mnthly'!$A35,'TB Mnthly'!G:G)</f>
        <v/>
      </c>
      <c r="G35" s="698">
        <f>SUMIF('TB Mnthly'!$A:$A,'PnL Mnthly'!$A35,'TB Mnthly'!H:H)</f>
        <v/>
      </c>
      <c r="H35" s="698">
        <f>SUMIF('TB Mnthly'!$A:$A,'PnL Mnthly'!$A35,'TB Mnthly'!I:I)</f>
        <v/>
      </c>
      <c r="I35" s="698">
        <f>SUMIF('TB Mnthly'!$A:$A,'PnL Mnthly'!$A35,'TB Mnthly'!J:J)</f>
        <v/>
      </c>
      <c r="J35" s="698">
        <f>SUMIF('TB Mnthly'!$A:$A,'PnL Mnthly'!$A35,'TB Mnthly'!K:K)</f>
        <v/>
      </c>
      <c r="K35" s="698">
        <f>SUMIF('TB Mnthly'!$A:$A,'PnL Mnthly'!$A35,'TB Mnthly'!L:L)</f>
        <v/>
      </c>
      <c r="L35" s="698">
        <f>SUMIF('TB Mnthly'!$A:$A,'PnL Mnthly'!$A35,'TB Mnthly'!M:M)</f>
        <v/>
      </c>
      <c r="M35" s="698">
        <f>SUMIF('TB Mnthly'!$A:$A,'PnL Mnthly'!$A35,'TB Mnthly'!N:N)</f>
        <v/>
      </c>
      <c r="N35" s="698">
        <f>SUMIF('TB Mnthly'!$A:$A,'PnL Mnthly'!$A35,'TB Mnthly'!O:O)</f>
        <v/>
      </c>
      <c r="O35" s="699">
        <f>SUM(B35:N35)</f>
        <v/>
      </c>
      <c r="P35" s="700" t="n"/>
      <c r="Q35" s="698">
        <f>SUMIF('TB Mnthly'!$A:$A,'PnL Mnthly'!$A35,'TB Mnthly'!R:R)</f>
        <v/>
      </c>
      <c r="R35" s="698">
        <f>SUMIF('TB Mnthly'!$A:$A,'PnL Mnthly'!$A35,'TB Mnthly'!S:S)</f>
        <v/>
      </c>
      <c r="S35" s="698">
        <f>SUMIF('TB Mnthly'!$A:$A,'PnL Mnthly'!$A35,'TB Mnthly'!T:T)</f>
        <v/>
      </c>
      <c r="T35" s="698">
        <f>SUMIF('TB Mnthly'!$A:$A,'PnL Mnthly'!$A35,'TB Mnthly'!U:U)</f>
        <v/>
      </c>
      <c r="U35" s="698">
        <f>SUMIF('TB Mnthly'!$A:$A,'PnL Mnthly'!$A35,'TB Mnthly'!V:V)</f>
        <v/>
      </c>
      <c r="V35" s="698">
        <f>SUMIF('TB Mnthly'!$A:$A,'PnL Mnthly'!$A35,'TB Mnthly'!W:W)</f>
        <v/>
      </c>
      <c r="W35" s="698">
        <f>SUMIF('TB Mnthly'!$A:$A,'PnL Mnthly'!$A35,'TB Mnthly'!X:X)</f>
        <v/>
      </c>
      <c r="X35" s="698">
        <f>SUMIF('TB Mnthly'!$A:$A,'PnL Mnthly'!$A35,'TB Mnthly'!Y:Y)</f>
        <v/>
      </c>
      <c r="Y35" s="698">
        <f>SUMIF('TB Mnthly'!$A:$A,'PnL Mnthly'!$A35,'TB Mnthly'!Z:Z)</f>
        <v/>
      </c>
      <c r="Z35" s="698">
        <f>SUMIF('TB Mnthly'!$A:$A,'PnL Mnthly'!$A35,'TB Mnthly'!AA:AA)</f>
        <v/>
      </c>
      <c r="AA35" s="698">
        <f>SUMIF('TB Mnthly'!$A:$A,'PnL Mnthly'!$A35,'TB Mnthly'!AB:AB)</f>
        <v/>
      </c>
      <c r="AB35" s="698">
        <f>SUMIF('TB Mnthly'!$A:$A,'PnL Mnthly'!$A35,'TB Mnthly'!AC:AC)</f>
        <v/>
      </c>
      <c r="AC35" s="699">
        <f>SUM(P35:AB35)</f>
        <v/>
      </c>
      <c r="AD35" s="701" t="n"/>
      <c r="AE35" s="698">
        <f>SUMIF('TB Mnthly'!$A:$A,'PnL Mnthly'!$A35,'TB Mnthly'!AF:AF)</f>
        <v/>
      </c>
      <c r="AF35" s="698">
        <f>SUMIF('TB Mnthly'!$A:$A,'PnL Mnthly'!$A35,'TB Mnthly'!AG:AG)</f>
        <v/>
      </c>
      <c r="AG35" s="698">
        <f>SUMIF('TB Mnthly'!$A:$A,'PnL Mnthly'!$A35,'TB Mnthly'!AH:AH)</f>
        <v/>
      </c>
      <c r="AH35" s="698">
        <f>SUMIF('TB Mnthly'!$A:$A,'PnL Mnthly'!$A35,'TB Mnthly'!AI:AI)</f>
        <v/>
      </c>
      <c r="AI35" s="698">
        <f>SUMIF('TB Mnthly'!$A:$A,'PnL Mnthly'!$A35,'TB Mnthly'!AJ:AJ)</f>
        <v/>
      </c>
      <c r="AJ35" s="698">
        <f>SUMIF('TB Mnthly'!$A:$A,'PnL Mnthly'!$A35,'TB Mnthly'!AK:AK)</f>
        <v/>
      </c>
      <c r="AK35" s="698">
        <f>SUMIF('TB Mnthly'!$A:$A,'PnL Mnthly'!$A35,'TB Mnthly'!AL:AL)</f>
        <v/>
      </c>
      <c r="AL35" s="698">
        <f>SUMIF('TB Mnthly'!$A:$A,'PnL Mnthly'!$A35,'TB Mnthly'!AM:AM)</f>
        <v/>
      </c>
      <c r="AM35" s="698">
        <f>SUMIF('TB Mnthly'!$A:$A,'PnL Mnthly'!$A35,'TB Mnthly'!AN:AN)</f>
        <v/>
      </c>
      <c r="AN35" s="698">
        <f>SUMIF('TB Mnthly'!$A:$A,'PnL Mnthly'!$A35,'TB Mnthly'!AO:AO)</f>
        <v/>
      </c>
      <c r="AO35" s="698">
        <f>SUMIF('TB Mnthly'!$A:$A,'PnL Mnthly'!$A35,'TB Mnthly'!AP:AP)</f>
        <v/>
      </c>
      <c r="AP35" s="698">
        <f>SUMIF('TB Mnthly'!$A:$A,'PnL Mnthly'!$A35,'TB Mnthly'!AQ:AQ)</f>
        <v/>
      </c>
      <c r="AQ35" s="699">
        <f>SUM(AD35:AP35)</f>
        <v/>
      </c>
      <c r="AR35" s="699" t="n"/>
      <c r="AS35" s="698">
        <f>SUMIF('TB Mnthly'!$A:$A,'PnL Mnthly'!$A35,'TB Mnthly'!AT:AT)</f>
        <v/>
      </c>
      <c r="AT35" s="698">
        <f>SUMIF('TB Mnthly'!$A:$A,'PnL Mnthly'!$A35,'TB Mnthly'!AU:AU)</f>
        <v/>
      </c>
      <c r="AU35" s="698">
        <f>SUMIF('TB Mnthly'!$A:$A,'PnL Mnthly'!$A35,'TB Mnthly'!AV:AV)</f>
        <v/>
      </c>
      <c r="AV35" s="698">
        <f>SUMIF('TB Mnthly'!$A:$A,'PnL Mnthly'!$A35,'TB Mnthly'!AW:AW)</f>
        <v/>
      </c>
      <c r="AW35" s="698">
        <f>SUMIF('TB Mnthly'!$A:$A,'PnL Mnthly'!$A35,'TB Mnthly'!AX:AX)</f>
        <v/>
      </c>
      <c r="AX35" s="698">
        <f>SUMIF('TB Mnthly'!$A:$A,'PnL Mnthly'!$A35,'TB Mnthly'!AY:AY)</f>
        <v/>
      </c>
      <c r="AY35" s="698">
        <f>SUMIF('TB Mnthly'!$A:$A,'PnL Mnthly'!$A35,'TB Mnthly'!AZ:AZ)</f>
        <v/>
      </c>
      <c r="AZ35" s="698">
        <f>SUMIF('TB Mnthly'!$A:$A,'PnL Mnthly'!$A35,'TB Mnthly'!BA:BA)</f>
        <v/>
      </c>
      <c r="BA35" s="698">
        <f>SUMIF('TB Mnthly'!$A:$A,'PnL Mnthly'!$A35,'TB Mnthly'!BB:BB)</f>
        <v/>
      </c>
      <c r="BB35" s="698">
        <f>SUMIF('TB Mnthly'!$A:$A,'PnL Mnthly'!$A35,'TB Mnthly'!BC:BC)</f>
        <v/>
      </c>
      <c r="BC35" s="698">
        <f>SUMIF('TB Mnthly'!$A:$A,'PnL Mnthly'!$A35,'TB Mnthly'!BD:BD)</f>
        <v/>
      </c>
      <c r="BD35" s="698">
        <f>SUMIF('TB Mnthly'!$A:$A,'PnL Mnthly'!$A35,'TB Mnthly'!BE:BE)</f>
        <v/>
      </c>
      <c r="BE35" s="699">
        <f>SUM(AR35:BD35)</f>
        <v/>
      </c>
      <c r="BF35" s="699" t="n"/>
      <c r="BG35" s="698">
        <f>SUMIF('TB Mnthly'!$A:$A,'PnL Mnthly'!$A35,'TB Mnthly'!BH:BH)</f>
        <v/>
      </c>
      <c r="BH35" s="698">
        <f>SUMIF('TB Mnthly'!$A:$A,'PnL Mnthly'!$A35,'TB Mnthly'!BI:BI)</f>
        <v/>
      </c>
      <c r="BI35" s="698">
        <f>SUMIF('TB Mnthly'!$A:$A,'PnL Mnthly'!$A35,'TB Mnthly'!BJ:BJ)</f>
        <v/>
      </c>
      <c r="BJ35" s="698">
        <f>SUMIF('TB Mnthly'!$A:$A,'PnL Mnthly'!$A35,'TB Mnthly'!BK:BK)</f>
        <v/>
      </c>
      <c r="BK35" s="698">
        <f>SUMIF('TB Mnthly'!$A:$A,'PnL Mnthly'!$A35,'TB Mnthly'!BL:BL)</f>
        <v/>
      </c>
      <c r="BL35" s="698">
        <f>SUMIF('TB Mnthly'!$A:$A,'PnL Mnthly'!$A35,'TB Mnthly'!BM:BM)</f>
        <v/>
      </c>
      <c r="BM35" s="698">
        <f>SUMIF('TB Mnthly'!$A:$A,'PnL Mnthly'!$A35,'TB Mnthly'!BN:BN)</f>
        <v/>
      </c>
      <c r="BN35" s="698">
        <f>SUMIF('TB Mnthly'!$A:$A,'PnL Mnthly'!$A35,'TB Mnthly'!BO:BO)</f>
        <v/>
      </c>
      <c r="BO35" s="698">
        <f>SUMIF('TB Mnthly'!$A:$A,'PnL Mnthly'!$A35,'TB Mnthly'!BP:BP)</f>
        <v/>
      </c>
      <c r="BP35" s="698">
        <f>SUMIF('TB Mnthly'!$A:$A,'PnL Mnthly'!$A35,'TB Mnthly'!BQ:BQ)</f>
        <v/>
      </c>
      <c r="BQ35" s="698">
        <f>SUMIF('TB Mnthly'!$A:$A,'PnL Mnthly'!$A35,'TB Mnthly'!BR:BR)</f>
        <v/>
      </c>
      <c r="BR35" s="698">
        <f>SUMIF('TB Mnthly'!$A:$A,'PnL Mnthly'!$A35,'TB Mnthly'!BS:BS)</f>
        <v/>
      </c>
      <c r="BS35" s="699">
        <f>SUM(BF35:BR35)</f>
        <v/>
      </c>
    </row>
    <row r="36">
      <c r="A36" s="697" t="inlineStr">
        <is>
          <t>Utilities</t>
        </is>
      </c>
      <c r="B36" s="698">
        <f>SUMIF('TB Mnthly'!$A:$A,'PnL Mnthly'!$A36,'TB Mnthly'!C:C)</f>
        <v/>
      </c>
      <c r="C36" s="698">
        <f>SUMIF('TB Mnthly'!$A:$A,'PnL Mnthly'!$A36,'TB Mnthly'!D:D)</f>
        <v/>
      </c>
      <c r="D36" s="698">
        <f>SUMIF('TB Mnthly'!$A:$A,'PnL Mnthly'!$A36,'TB Mnthly'!E:E)</f>
        <v/>
      </c>
      <c r="E36" s="698">
        <f>SUMIF('TB Mnthly'!$A:$A,'PnL Mnthly'!$A36,'TB Mnthly'!F:F)</f>
        <v/>
      </c>
      <c r="F36" s="698">
        <f>SUMIF('TB Mnthly'!$A:$A,'PnL Mnthly'!$A36,'TB Mnthly'!G:G)</f>
        <v/>
      </c>
      <c r="G36" s="698">
        <f>SUMIF('TB Mnthly'!$A:$A,'PnL Mnthly'!$A36,'TB Mnthly'!H:H)</f>
        <v/>
      </c>
      <c r="H36" s="698">
        <f>SUMIF('TB Mnthly'!$A:$A,'PnL Mnthly'!$A36,'TB Mnthly'!I:I)</f>
        <v/>
      </c>
      <c r="I36" s="698">
        <f>SUMIF('TB Mnthly'!$A:$A,'PnL Mnthly'!$A36,'TB Mnthly'!J:J)</f>
        <v/>
      </c>
      <c r="J36" s="698">
        <f>SUMIF('TB Mnthly'!$A:$A,'PnL Mnthly'!$A36,'TB Mnthly'!K:K)</f>
        <v/>
      </c>
      <c r="K36" s="698">
        <f>SUMIF('TB Mnthly'!$A:$A,'PnL Mnthly'!$A36,'TB Mnthly'!L:L)</f>
        <v/>
      </c>
      <c r="L36" s="698">
        <f>SUMIF('TB Mnthly'!$A:$A,'PnL Mnthly'!$A36,'TB Mnthly'!M:M)</f>
        <v/>
      </c>
      <c r="M36" s="698">
        <f>SUMIF('TB Mnthly'!$A:$A,'PnL Mnthly'!$A36,'TB Mnthly'!N:N)</f>
        <v/>
      </c>
      <c r="N36" s="698">
        <f>SUMIF('TB Mnthly'!$A:$A,'PnL Mnthly'!$A36,'TB Mnthly'!O:O)</f>
        <v/>
      </c>
      <c r="O36" s="699">
        <f>SUM(B36:N36)</f>
        <v/>
      </c>
      <c r="P36" s="700" t="n"/>
      <c r="Q36" s="698">
        <f>SUMIF('TB Mnthly'!$A:$A,'PnL Mnthly'!$A36,'TB Mnthly'!R:R)</f>
        <v/>
      </c>
      <c r="R36" s="698">
        <f>SUMIF('TB Mnthly'!$A:$A,'PnL Mnthly'!$A36,'TB Mnthly'!S:S)</f>
        <v/>
      </c>
      <c r="S36" s="698">
        <f>SUMIF('TB Mnthly'!$A:$A,'PnL Mnthly'!$A36,'TB Mnthly'!T:T)</f>
        <v/>
      </c>
      <c r="T36" s="698">
        <f>SUMIF('TB Mnthly'!$A:$A,'PnL Mnthly'!$A36,'TB Mnthly'!U:U)</f>
        <v/>
      </c>
      <c r="U36" s="698">
        <f>SUMIF('TB Mnthly'!$A:$A,'PnL Mnthly'!$A36,'TB Mnthly'!V:V)</f>
        <v/>
      </c>
      <c r="V36" s="698">
        <f>SUMIF('TB Mnthly'!$A:$A,'PnL Mnthly'!$A36,'TB Mnthly'!W:W)</f>
        <v/>
      </c>
      <c r="W36" s="698">
        <f>SUMIF('TB Mnthly'!$A:$A,'PnL Mnthly'!$A36,'TB Mnthly'!X:X)</f>
        <v/>
      </c>
      <c r="X36" s="698">
        <f>SUMIF('TB Mnthly'!$A:$A,'PnL Mnthly'!$A36,'TB Mnthly'!Y:Y)</f>
        <v/>
      </c>
      <c r="Y36" s="698">
        <f>SUMIF('TB Mnthly'!$A:$A,'PnL Mnthly'!$A36,'TB Mnthly'!Z:Z)</f>
        <v/>
      </c>
      <c r="Z36" s="698">
        <f>SUMIF('TB Mnthly'!$A:$A,'PnL Mnthly'!$A36,'TB Mnthly'!AA:AA)</f>
        <v/>
      </c>
      <c r="AA36" s="698">
        <f>SUMIF('TB Mnthly'!$A:$A,'PnL Mnthly'!$A36,'TB Mnthly'!AB:AB)</f>
        <v/>
      </c>
      <c r="AB36" s="698">
        <f>SUMIF('TB Mnthly'!$A:$A,'PnL Mnthly'!$A36,'TB Mnthly'!AC:AC)</f>
        <v/>
      </c>
      <c r="AC36" s="699">
        <f>SUM(P36:AB36)</f>
        <v/>
      </c>
      <c r="AD36" s="701" t="n"/>
      <c r="AE36" s="698">
        <f>SUMIF('TB Mnthly'!$A:$A,'PnL Mnthly'!$A36,'TB Mnthly'!AF:AF)</f>
        <v/>
      </c>
      <c r="AF36" s="698">
        <f>SUMIF('TB Mnthly'!$A:$A,'PnL Mnthly'!$A36,'TB Mnthly'!AG:AG)</f>
        <v/>
      </c>
      <c r="AG36" s="698">
        <f>SUMIF('TB Mnthly'!$A:$A,'PnL Mnthly'!$A36,'TB Mnthly'!AH:AH)</f>
        <v/>
      </c>
      <c r="AH36" s="698">
        <f>SUMIF('TB Mnthly'!$A:$A,'PnL Mnthly'!$A36,'TB Mnthly'!AI:AI)</f>
        <v/>
      </c>
      <c r="AI36" s="698">
        <f>SUMIF('TB Mnthly'!$A:$A,'PnL Mnthly'!$A36,'TB Mnthly'!AJ:AJ)</f>
        <v/>
      </c>
      <c r="AJ36" s="698">
        <f>SUMIF('TB Mnthly'!$A:$A,'PnL Mnthly'!$A36,'TB Mnthly'!AK:AK)</f>
        <v/>
      </c>
      <c r="AK36" s="698">
        <f>SUMIF('TB Mnthly'!$A:$A,'PnL Mnthly'!$A36,'TB Mnthly'!AL:AL)</f>
        <v/>
      </c>
      <c r="AL36" s="698">
        <f>SUMIF('TB Mnthly'!$A:$A,'PnL Mnthly'!$A36,'TB Mnthly'!AM:AM)</f>
        <v/>
      </c>
      <c r="AM36" s="698">
        <f>SUMIF('TB Mnthly'!$A:$A,'PnL Mnthly'!$A36,'TB Mnthly'!AN:AN)</f>
        <v/>
      </c>
      <c r="AN36" s="698">
        <f>SUMIF('TB Mnthly'!$A:$A,'PnL Mnthly'!$A36,'TB Mnthly'!AO:AO)</f>
        <v/>
      </c>
      <c r="AO36" s="698">
        <f>SUMIF('TB Mnthly'!$A:$A,'PnL Mnthly'!$A36,'TB Mnthly'!AP:AP)</f>
        <v/>
      </c>
      <c r="AP36" s="698">
        <f>SUMIF('TB Mnthly'!$A:$A,'PnL Mnthly'!$A36,'TB Mnthly'!AQ:AQ)</f>
        <v/>
      </c>
      <c r="AQ36" s="699">
        <f>SUM(AD36:AP36)</f>
        <v/>
      </c>
      <c r="AR36" s="699" t="n"/>
      <c r="AS36" s="698">
        <f>SUMIF('TB Mnthly'!$A:$A,'PnL Mnthly'!$A36,'TB Mnthly'!AT:AT)</f>
        <v/>
      </c>
      <c r="AT36" s="698">
        <f>SUMIF('TB Mnthly'!$A:$A,'PnL Mnthly'!$A36,'TB Mnthly'!AU:AU)</f>
        <v/>
      </c>
      <c r="AU36" s="698">
        <f>SUMIF('TB Mnthly'!$A:$A,'PnL Mnthly'!$A36,'TB Mnthly'!AV:AV)</f>
        <v/>
      </c>
      <c r="AV36" s="698">
        <f>SUMIF('TB Mnthly'!$A:$A,'PnL Mnthly'!$A36,'TB Mnthly'!AW:AW)</f>
        <v/>
      </c>
      <c r="AW36" s="698">
        <f>SUMIF('TB Mnthly'!$A:$A,'PnL Mnthly'!$A36,'TB Mnthly'!AX:AX)</f>
        <v/>
      </c>
      <c r="AX36" s="698">
        <f>SUMIF('TB Mnthly'!$A:$A,'PnL Mnthly'!$A36,'TB Mnthly'!AY:AY)</f>
        <v/>
      </c>
      <c r="AY36" s="698">
        <f>SUMIF('TB Mnthly'!$A:$A,'PnL Mnthly'!$A36,'TB Mnthly'!AZ:AZ)</f>
        <v/>
      </c>
      <c r="AZ36" s="698">
        <f>SUMIF('TB Mnthly'!$A:$A,'PnL Mnthly'!$A36,'TB Mnthly'!BA:BA)</f>
        <v/>
      </c>
      <c r="BA36" s="698">
        <f>SUMIF('TB Mnthly'!$A:$A,'PnL Mnthly'!$A36,'TB Mnthly'!BB:BB)</f>
        <v/>
      </c>
      <c r="BB36" s="698">
        <f>SUMIF('TB Mnthly'!$A:$A,'PnL Mnthly'!$A36,'TB Mnthly'!BC:BC)</f>
        <v/>
      </c>
      <c r="BC36" s="698">
        <f>SUMIF('TB Mnthly'!$A:$A,'PnL Mnthly'!$A36,'TB Mnthly'!BD:BD)</f>
        <v/>
      </c>
      <c r="BD36" s="698">
        <f>SUMIF('TB Mnthly'!$A:$A,'PnL Mnthly'!$A36,'TB Mnthly'!BE:BE)</f>
        <v/>
      </c>
      <c r="BE36" s="699">
        <f>SUM(AR36:BD36)</f>
        <v/>
      </c>
      <c r="BF36" s="699" t="n"/>
      <c r="BG36" s="698">
        <f>SUMIF('TB Mnthly'!$A:$A,'PnL Mnthly'!$A36,'TB Mnthly'!BH:BH)</f>
        <v/>
      </c>
      <c r="BH36" s="698">
        <f>SUMIF('TB Mnthly'!$A:$A,'PnL Mnthly'!$A36,'TB Mnthly'!BI:BI)</f>
        <v/>
      </c>
      <c r="BI36" s="698">
        <f>SUMIF('TB Mnthly'!$A:$A,'PnL Mnthly'!$A36,'TB Mnthly'!BJ:BJ)</f>
        <v/>
      </c>
      <c r="BJ36" s="698">
        <f>SUMIF('TB Mnthly'!$A:$A,'PnL Mnthly'!$A36,'TB Mnthly'!BK:BK)</f>
        <v/>
      </c>
      <c r="BK36" s="698">
        <f>SUMIF('TB Mnthly'!$A:$A,'PnL Mnthly'!$A36,'TB Mnthly'!BL:BL)</f>
        <v/>
      </c>
      <c r="BL36" s="698">
        <f>SUMIF('TB Mnthly'!$A:$A,'PnL Mnthly'!$A36,'TB Mnthly'!BM:BM)</f>
        <v/>
      </c>
      <c r="BM36" s="698">
        <f>SUMIF('TB Mnthly'!$A:$A,'PnL Mnthly'!$A36,'TB Mnthly'!BN:BN)</f>
        <v/>
      </c>
      <c r="BN36" s="698">
        <f>SUMIF('TB Mnthly'!$A:$A,'PnL Mnthly'!$A36,'TB Mnthly'!BO:BO)</f>
        <v/>
      </c>
      <c r="BO36" s="698">
        <f>SUMIF('TB Mnthly'!$A:$A,'PnL Mnthly'!$A36,'TB Mnthly'!BP:BP)</f>
        <v/>
      </c>
      <c r="BP36" s="698">
        <f>SUMIF('TB Mnthly'!$A:$A,'PnL Mnthly'!$A36,'TB Mnthly'!BQ:BQ)</f>
        <v/>
      </c>
      <c r="BQ36" s="698">
        <f>SUMIF('TB Mnthly'!$A:$A,'PnL Mnthly'!$A36,'TB Mnthly'!BR:BR)</f>
        <v/>
      </c>
      <c r="BR36" s="698">
        <f>SUMIF('TB Mnthly'!$A:$A,'PnL Mnthly'!$A36,'TB Mnthly'!BS:BS)</f>
        <v/>
      </c>
      <c r="BS36" s="699">
        <f>SUM(BF36:BR36)</f>
        <v/>
      </c>
    </row>
    <row r="37">
      <c r="A37" s="697" t="inlineStr">
        <is>
          <t>Repairs and Maintenance</t>
        </is>
      </c>
      <c r="B37" s="698">
        <f>SUMIF('TB Mnthly'!$A:$A,'PnL Mnthly'!$A37,'TB Mnthly'!C:C)</f>
        <v/>
      </c>
      <c r="C37" s="698">
        <f>SUMIF('TB Mnthly'!$A:$A,'PnL Mnthly'!$A37,'TB Mnthly'!D:D)</f>
        <v/>
      </c>
      <c r="D37" s="698">
        <f>SUMIF('TB Mnthly'!$A:$A,'PnL Mnthly'!$A37,'TB Mnthly'!E:E)</f>
        <v/>
      </c>
      <c r="E37" s="698">
        <f>SUMIF('TB Mnthly'!$A:$A,'PnL Mnthly'!$A37,'TB Mnthly'!F:F)</f>
        <v/>
      </c>
      <c r="F37" s="698">
        <f>SUMIF('TB Mnthly'!$A:$A,'PnL Mnthly'!$A37,'TB Mnthly'!G:G)</f>
        <v/>
      </c>
      <c r="G37" s="698">
        <f>SUMIF('TB Mnthly'!$A:$A,'PnL Mnthly'!$A37,'TB Mnthly'!H:H)</f>
        <v/>
      </c>
      <c r="H37" s="698">
        <f>SUMIF('TB Mnthly'!$A:$A,'PnL Mnthly'!$A37,'TB Mnthly'!I:I)</f>
        <v/>
      </c>
      <c r="I37" s="698">
        <f>SUMIF('TB Mnthly'!$A:$A,'PnL Mnthly'!$A37,'TB Mnthly'!J:J)</f>
        <v/>
      </c>
      <c r="J37" s="698">
        <f>SUMIF('TB Mnthly'!$A:$A,'PnL Mnthly'!$A37,'TB Mnthly'!K:K)</f>
        <v/>
      </c>
      <c r="K37" s="698">
        <f>SUMIF('TB Mnthly'!$A:$A,'PnL Mnthly'!$A37,'TB Mnthly'!L:L)</f>
        <v/>
      </c>
      <c r="L37" s="698">
        <f>SUMIF('TB Mnthly'!$A:$A,'PnL Mnthly'!$A37,'TB Mnthly'!M:M)</f>
        <v/>
      </c>
      <c r="M37" s="698">
        <f>SUMIF('TB Mnthly'!$A:$A,'PnL Mnthly'!$A37,'TB Mnthly'!N:N)</f>
        <v/>
      </c>
      <c r="N37" s="698">
        <f>SUMIF('TB Mnthly'!$A:$A,'PnL Mnthly'!$A37,'TB Mnthly'!O:O)</f>
        <v/>
      </c>
      <c r="O37" s="699">
        <f>SUM(B37:N37)</f>
        <v/>
      </c>
      <c r="P37" s="700" t="n"/>
      <c r="Q37" s="698">
        <f>SUMIF('TB Mnthly'!$A:$A,'PnL Mnthly'!$A37,'TB Mnthly'!R:R)</f>
        <v/>
      </c>
      <c r="R37" s="698">
        <f>SUMIF('TB Mnthly'!$A:$A,'PnL Mnthly'!$A37,'TB Mnthly'!S:S)</f>
        <v/>
      </c>
      <c r="S37" s="698">
        <f>SUMIF('TB Mnthly'!$A:$A,'PnL Mnthly'!$A37,'TB Mnthly'!T:T)</f>
        <v/>
      </c>
      <c r="T37" s="698">
        <f>SUMIF('TB Mnthly'!$A:$A,'PnL Mnthly'!$A37,'TB Mnthly'!U:U)</f>
        <v/>
      </c>
      <c r="U37" s="698">
        <f>SUMIF('TB Mnthly'!$A:$A,'PnL Mnthly'!$A37,'TB Mnthly'!V:V)</f>
        <v/>
      </c>
      <c r="V37" s="698">
        <f>SUMIF('TB Mnthly'!$A:$A,'PnL Mnthly'!$A37,'TB Mnthly'!W:W)</f>
        <v/>
      </c>
      <c r="W37" s="698">
        <f>SUMIF('TB Mnthly'!$A:$A,'PnL Mnthly'!$A37,'TB Mnthly'!X:X)</f>
        <v/>
      </c>
      <c r="X37" s="698">
        <f>SUMIF('TB Mnthly'!$A:$A,'PnL Mnthly'!$A37,'TB Mnthly'!Y:Y)</f>
        <v/>
      </c>
      <c r="Y37" s="698">
        <f>SUMIF('TB Mnthly'!$A:$A,'PnL Mnthly'!$A37,'TB Mnthly'!Z:Z)</f>
        <v/>
      </c>
      <c r="Z37" s="698">
        <f>SUMIF('TB Mnthly'!$A:$A,'PnL Mnthly'!$A37,'TB Mnthly'!AA:AA)</f>
        <v/>
      </c>
      <c r="AA37" s="698">
        <f>SUMIF('TB Mnthly'!$A:$A,'PnL Mnthly'!$A37,'TB Mnthly'!AB:AB)</f>
        <v/>
      </c>
      <c r="AB37" s="698">
        <f>SUMIF('TB Mnthly'!$A:$A,'PnL Mnthly'!$A37,'TB Mnthly'!AC:AC)</f>
        <v/>
      </c>
      <c r="AC37" s="699">
        <f>SUM(P37:AB37)</f>
        <v/>
      </c>
      <c r="AD37" s="701" t="n"/>
      <c r="AE37" s="698">
        <f>SUMIF('TB Mnthly'!$A:$A,'PnL Mnthly'!$A37,'TB Mnthly'!AF:AF)</f>
        <v/>
      </c>
      <c r="AF37" s="698">
        <f>SUMIF('TB Mnthly'!$A:$A,'PnL Mnthly'!$A37,'TB Mnthly'!AG:AG)</f>
        <v/>
      </c>
      <c r="AG37" s="698">
        <f>SUMIF('TB Mnthly'!$A:$A,'PnL Mnthly'!$A37,'TB Mnthly'!AH:AH)</f>
        <v/>
      </c>
      <c r="AH37" s="698">
        <f>SUMIF('TB Mnthly'!$A:$A,'PnL Mnthly'!$A37,'TB Mnthly'!AI:AI)</f>
        <v/>
      </c>
      <c r="AI37" s="698">
        <f>SUMIF('TB Mnthly'!$A:$A,'PnL Mnthly'!$A37,'TB Mnthly'!AJ:AJ)</f>
        <v/>
      </c>
      <c r="AJ37" s="698">
        <f>SUMIF('TB Mnthly'!$A:$A,'PnL Mnthly'!$A37,'TB Mnthly'!AK:AK)</f>
        <v/>
      </c>
      <c r="AK37" s="698">
        <f>SUMIF('TB Mnthly'!$A:$A,'PnL Mnthly'!$A37,'TB Mnthly'!AL:AL)</f>
        <v/>
      </c>
      <c r="AL37" s="698">
        <f>SUMIF('TB Mnthly'!$A:$A,'PnL Mnthly'!$A37,'TB Mnthly'!AM:AM)</f>
        <v/>
      </c>
      <c r="AM37" s="698">
        <f>SUMIF('TB Mnthly'!$A:$A,'PnL Mnthly'!$A37,'TB Mnthly'!AN:AN)</f>
        <v/>
      </c>
      <c r="AN37" s="698">
        <f>SUMIF('TB Mnthly'!$A:$A,'PnL Mnthly'!$A37,'TB Mnthly'!AO:AO)</f>
        <v/>
      </c>
      <c r="AO37" s="698">
        <f>SUMIF('TB Mnthly'!$A:$A,'PnL Mnthly'!$A37,'TB Mnthly'!AP:AP)</f>
        <v/>
      </c>
      <c r="AP37" s="698">
        <f>SUMIF('TB Mnthly'!$A:$A,'PnL Mnthly'!$A37,'TB Mnthly'!AQ:AQ)</f>
        <v/>
      </c>
      <c r="AQ37" s="699">
        <f>SUM(AD37:AP37)</f>
        <v/>
      </c>
      <c r="AR37" s="699" t="n"/>
      <c r="AS37" s="698">
        <f>SUMIF('TB Mnthly'!$A:$A,'PnL Mnthly'!$A37,'TB Mnthly'!AT:AT)</f>
        <v/>
      </c>
      <c r="AT37" s="698">
        <f>SUMIF('TB Mnthly'!$A:$A,'PnL Mnthly'!$A37,'TB Mnthly'!AU:AU)</f>
        <v/>
      </c>
      <c r="AU37" s="698">
        <f>SUMIF('TB Mnthly'!$A:$A,'PnL Mnthly'!$A37,'TB Mnthly'!AV:AV)</f>
        <v/>
      </c>
      <c r="AV37" s="698">
        <f>SUMIF('TB Mnthly'!$A:$A,'PnL Mnthly'!$A37,'TB Mnthly'!AW:AW)</f>
        <v/>
      </c>
      <c r="AW37" s="698">
        <f>SUMIF('TB Mnthly'!$A:$A,'PnL Mnthly'!$A37,'TB Mnthly'!AX:AX)</f>
        <v/>
      </c>
      <c r="AX37" s="698">
        <f>SUMIF('TB Mnthly'!$A:$A,'PnL Mnthly'!$A37,'TB Mnthly'!AY:AY)</f>
        <v/>
      </c>
      <c r="AY37" s="698">
        <f>SUMIF('TB Mnthly'!$A:$A,'PnL Mnthly'!$A37,'TB Mnthly'!AZ:AZ)</f>
        <v/>
      </c>
      <c r="AZ37" s="698">
        <f>SUMIF('TB Mnthly'!$A:$A,'PnL Mnthly'!$A37,'TB Mnthly'!BA:BA)</f>
        <v/>
      </c>
      <c r="BA37" s="698">
        <f>SUMIF('TB Mnthly'!$A:$A,'PnL Mnthly'!$A37,'TB Mnthly'!BB:BB)</f>
        <v/>
      </c>
      <c r="BB37" s="698">
        <f>SUMIF('TB Mnthly'!$A:$A,'PnL Mnthly'!$A37,'TB Mnthly'!BC:BC)</f>
        <v/>
      </c>
      <c r="BC37" s="698">
        <f>SUMIF('TB Mnthly'!$A:$A,'PnL Mnthly'!$A37,'TB Mnthly'!BD:BD)</f>
        <v/>
      </c>
      <c r="BD37" s="698">
        <f>SUMIF('TB Mnthly'!$A:$A,'PnL Mnthly'!$A37,'TB Mnthly'!BE:BE)</f>
        <v/>
      </c>
      <c r="BE37" s="699">
        <f>SUM(AR37:BD37)</f>
        <v/>
      </c>
      <c r="BF37" s="699" t="n"/>
      <c r="BG37" s="698">
        <f>SUMIF('TB Mnthly'!$A:$A,'PnL Mnthly'!$A37,'TB Mnthly'!BH:BH)</f>
        <v/>
      </c>
      <c r="BH37" s="698">
        <f>SUMIF('TB Mnthly'!$A:$A,'PnL Mnthly'!$A37,'TB Mnthly'!BI:BI)</f>
        <v/>
      </c>
      <c r="BI37" s="698">
        <f>SUMIF('TB Mnthly'!$A:$A,'PnL Mnthly'!$A37,'TB Mnthly'!BJ:BJ)</f>
        <v/>
      </c>
      <c r="BJ37" s="698">
        <f>SUMIF('TB Mnthly'!$A:$A,'PnL Mnthly'!$A37,'TB Mnthly'!BK:BK)</f>
        <v/>
      </c>
      <c r="BK37" s="698">
        <f>SUMIF('TB Mnthly'!$A:$A,'PnL Mnthly'!$A37,'TB Mnthly'!BL:BL)</f>
        <v/>
      </c>
      <c r="BL37" s="698">
        <f>SUMIF('TB Mnthly'!$A:$A,'PnL Mnthly'!$A37,'TB Mnthly'!BM:BM)</f>
        <v/>
      </c>
      <c r="BM37" s="698">
        <f>SUMIF('TB Mnthly'!$A:$A,'PnL Mnthly'!$A37,'TB Mnthly'!BN:BN)</f>
        <v/>
      </c>
      <c r="BN37" s="698">
        <f>SUMIF('TB Mnthly'!$A:$A,'PnL Mnthly'!$A37,'TB Mnthly'!BO:BO)</f>
        <v/>
      </c>
      <c r="BO37" s="698">
        <f>SUMIF('TB Mnthly'!$A:$A,'PnL Mnthly'!$A37,'TB Mnthly'!BP:BP)</f>
        <v/>
      </c>
      <c r="BP37" s="698">
        <f>SUMIF('TB Mnthly'!$A:$A,'PnL Mnthly'!$A37,'TB Mnthly'!BQ:BQ)</f>
        <v/>
      </c>
      <c r="BQ37" s="698">
        <f>SUMIF('TB Mnthly'!$A:$A,'PnL Mnthly'!$A37,'TB Mnthly'!BR:BR)</f>
        <v/>
      </c>
      <c r="BR37" s="698">
        <f>SUMIF('TB Mnthly'!$A:$A,'PnL Mnthly'!$A37,'TB Mnthly'!BS:BS)</f>
        <v/>
      </c>
      <c r="BS37" s="699">
        <f>SUM(BF37:BR37)</f>
        <v/>
      </c>
    </row>
    <row r="38">
      <c r="A38" s="697" t="inlineStr">
        <is>
          <t>Marketing</t>
        </is>
      </c>
      <c r="B38" s="698">
        <f>SUMIF('TB Mnthly'!$A:$A,'PnL Mnthly'!$A38,'TB Mnthly'!C:C)</f>
        <v/>
      </c>
      <c r="C38" s="698">
        <f>SUMIF('TB Mnthly'!$A:$A,'PnL Mnthly'!$A38,'TB Mnthly'!D:D)</f>
        <v/>
      </c>
      <c r="D38" s="698">
        <f>SUMIF('TB Mnthly'!$A:$A,'PnL Mnthly'!$A38,'TB Mnthly'!E:E)</f>
        <v/>
      </c>
      <c r="E38" s="698">
        <f>SUMIF('TB Mnthly'!$A:$A,'PnL Mnthly'!$A38,'TB Mnthly'!F:F)</f>
        <v/>
      </c>
      <c r="F38" s="698">
        <f>SUMIF('TB Mnthly'!$A:$A,'PnL Mnthly'!$A38,'TB Mnthly'!G:G)</f>
        <v/>
      </c>
      <c r="G38" s="698">
        <f>SUMIF('TB Mnthly'!$A:$A,'PnL Mnthly'!$A38,'TB Mnthly'!H:H)</f>
        <v/>
      </c>
      <c r="H38" s="698">
        <f>SUMIF('TB Mnthly'!$A:$A,'PnL Mnthly'!$A38,'TB Mnthly'!I:I)</f>
        <v/>
      </c>
      <c r="I38" s="698">
        <f>SUMIF('TB Mnthly'!$A:$A,'PnL Mnthly'!$A38,'TB Mnthly'!J:J)</f>
        <v/>
      </c>
      <c r="J38" s="698">
        <f>SUMIF('TB Mnthly'!$A:$A,'PnL Mnthly'!$A38,'TB Mnthly'!K:K)</f>
        <v/>
      </c>
      <c r="K38" s="698">
        <f>SUMIF('TB Mnthly'!$A:$A,'PnL Mnthly'!$A38,'TB Mnthly'!L:L)</f>
        <v/>
      </c>
      <c r="L38" s="698">
        <f>SUMIF('TB Mnthly'!$A:$A,'PnL Mnthly'!$A38,'TB Mnthly'!M:M)</f>
        <v/>
      </c>
      <c r="M38" s="698">
        <f>SUMIF('TB Mnthly'!$A:$A,'PnL Mnthly'!$A38,'TB Mnthly'!N:N)</f>
        <v/>
      </c>
      <c r="N38" s="698">
        <f>SUMIF('TB Mnthly'!$A:$A,'PnL Mnthly'!$A38,'TB Mnthly'!O:O)</f>
        <v/>
      </c>
      <c r="O38" s="699">
        <f>SUM(B38:N38)</f>
        <v/>
      </c>
      <c r="P38" s="700" t="n"/>
      <c r="Q38" s="698">
        <f>SUMIF('TB Mnthly'!$A:$A,'PnL Mnthly'!$A38,'TB Mnthly'!R:R)</f>
        <v/>
      </c>
      <c r="R38" s="698">
        <f>SUMIF('TB Mnthly'!$A:$A,'PnL Mnthly'!$A38,'TB Mnthly'!S:S)</f>
        <v/>
      </c>
      <c r="S38" s="698">
        <f>SUMIF('TB Mnthly'!$A:$A,'PnL Mnthly'!$A38,'TB Mnthly'!T:T)</f>
        <v/>
      </c>
      <c r="T38" s="698">
        <f>SUMIF('TB Mnthly'!$A:$A,'PnL Mnthly'!$A38,'TB Mnthly'!U:U)</f>
        <v/>
      </c>
      <c r="U38" s="698">
        <f>SUMIF('TB Mnthly'!$A:$A,'PnL Mnthly'!$A38,'TB Mnthly'!V:V)</f>
        <v/>
      </c>
      <c r="V38" s="698">
        <f>SUMIF('TB Mnthly'!$A:$A,'PnL Mnthly'!$A38,'TB Mnthly'!W:W)</f>
        <v/>
      </c>
      <c r="W38" s="698">
        <f>SUMIF('TB Mnthly'!$A:$A,'PnL Mnthly'!$A38,'TB Mnthly'!X:X)</f>
        <v/>
      </c>
      <c r="X38" s="698">
        <f>SUMIF('TB Mnthly'!$A:$A,'PnL Mnthly'!$A38,'TB Mnthly'!Y:Y)</f>
        <v/>
      </c>
      <c r="Y38" s="698">
        <f>SUMIF('TB Mnthly'!$A:$A,'PnL Mnthly'!$A38,'TB Mnthly'!Z:Z)</f>
        <v/>
      </c>
      <c r="Z38" s="698">
        <f>SUMIF('TB Mnthly'!$A:$A,'PnL Mnthly'!$A38,'TB Mnthly'!AA:AA)</f>
        <v/>
      </c>
      <c r="AA38" s="698">
        <f>SUMIF('TB Mnthly'!$A:$A,'PnL Mnthly'!$A38,'TB Mnthly'!AB:AB)</f>
        <v/>
      </c>
      <c r="AB38" s="698">
        <f>SUMIF('TB Mnthly'!$A:$A,'PnL Mnthly'!$A38,'TB Mnthly'!AC:AC)</f>
        <v/>
      </c>
      <c r="AC38" s="699">
        <f>SUM(P38:AB38)</f>
        <v/>
      </c>
      <c r="AD38" s="701" t="n"/>
      <c r="AE38" s="698">
        <f>SUMIF('TB Mnthly'!$A:$A,'PnL Mnthly'!$A38,'TB Mnthly'!AF:AF)</f>
        <v/>
      </c>
      <c r="AF38" s="698">
        <f>SUMIF('TB Mnthly'!$A:$A,'PnL Mnthly'!$A38,'TB Mnthly'!AG:AG)</f>
        <v/>
      </c>
      <c r="AG38" s="698">
        <f>SUMIF('TB Mnthly'!$A:$A,'PnL Mnthly'!$A38,'TB Mnthly'!AH:AH)</f>
        <v/>
      </c>
      <c r="AH38" s="698">
        <f>SUMIF('TB Mnthly'!$A:$A,'PnL Mnthly'!$A38,'TB Mnthly'!AI:AI)</f>
        <v/>
      </c>
      <c r="AI38" s="698">
        <f>SUMIF('TB Mnthly'!$A:$A,'PnL Mnthly'!$A38,'TB Mnthly'!AJ:AJ)</f>
        <v/>
      </c>
      <c r="AJ38" s="698">
        <f>SUMIF('TB Mnthly'!$A:$A,'PnL Mnthly'!$A38,'TB Mnthly'!AK:AK)</f>
        <v/>
      </c>
      <c r="AK38" s="698">
        <f>SUMIF('TB Mnthly'!$A:$A,'PnL Mnthly'!$A38,'TB Mnthly'!AL:AL)</f>
        <v/>
      </c>
      <c r="AL38" s="698">
        <f>SUMIF('TB Mnthly'!$A:$A,'PnL Mnthly'!$A38,'TB Mnthly'!AM:AM)</f>
        <v/>
      </c>
      <c r="AM38" s="698">
        <f>SUMIF('TB Mnthly'!$A:$A,'PnL Mnthly'!$A38,'TB Mnthly'!AN:AN)</f>
        <v/>
      </c>
      <c r="AN38" s="698">
        <f>SUMIF('TB Mnthly'!$A:$A,'PnL Mnthly'!$A38,'TB Mnthly'!AO:AO)</f>
        <v/>
      </c>
      <c r="AO38" s="698">
        <f>SUMIF('TB Mnthly'!$A:$A,'PnL Mnthly'!$A38,'TB Mnthly'!AP:AP)</f>
        <v/>
      </c>
      <c r="AP38" s="698">
        <f>SUMIF('TB Mnthly'!$A:$A,'PnL Mnthly'!$A38,'TB Mnthly'!AQ:AQ)</f>
        <v/>
      </c>
      <c r="AQ38" s="699">
        <f>SUM(AD38:AP38)</f>
        <v/>
      </c>
      <c r="AR38" s="699" t="n"/>
      <c r="AS38" s="698">
        <f>SUMIF('TB Mnthly'!$A:$A,'PnL Mnthly'!$A38,'TB Mnthly'!AT:AT)</f>
        <v/>
      </c>
      <c r="AT38" s="698">
        <f>SUMIF('TB Mnthly'!$A:$A,'PnL Mnthly'!$A38,'TB Mnthly'!AU:AU)</f>
        <v/>
      </c>
      <c r="AU38" s="698">
        <f>SUMIF('TB Mnthly'!$A:$A,'PnL Mnthly'!$A38,'TB Mnthly'!AV:AV)</f>
        <v/>
      </c>
      <c r="AV38" s="698">
        <f>SUMIF('TB Mnthly'!$A:$A,'PnL Mnthly'!$A38,'TB Mnthly'!AW:AW)</f>
        <v/>
      </c>
      <c r="AW38" s="698">
        <f>SUMIF('TB Mnthly'!$A:$A,'PnL Mnthly'!$A38,'TB Mnthly'!AX:AX)</f>
        <v/>
      </c>
      <c r="AX38" s="698">
        <f>SUMIF('TB Mnthly'!$A:$A,'PnL Mnthly'!$A38,'TB Mnthly'!AY:AY)</f>
        <v/>
      </c>
      <c r="AY38" s="698">
        <f>SUMIF('TB Mnthly'!$A:$A,'PnL Mnthly'!$A38,'TB Mnthly'!AZ:AZ)</f>
        <v/>
      </c>
      <c r="AZ38" s="698">
        <f>SUMIF('TB Mnthly'!$A:$A,'PnL Mnthly'!$A38,'TB Mnthly'!BA:BA)</f>
        <v/>
      </c>
      <c r="BA38" s="698">
        <f>SUMIF('TB Mnthly'!$A:$A,'PnL Mnthly'!$A38,'TB Mnthly'!BB:BB)</f>
        <v/>
      </c>
      <c r="BB38" s="698">
        <f>SUMIF('TB Mnthly'!$A:$A,'PnL Mnthly'!$A38,'TB Mnthly'!BC:BC)</f>
        <v/>
      </c>
      <c r="BC38" s="698">
        <f>SUMIF('TB Mnthly'!$A:$A,'PnL Mnthly'!$A38,'TB Mnthly'!BD:BD)</f>
        <v/>
      </c>
      <c r="BD38" s="698">
        <f>SUMIF('TB Mnthly'!$A:$A,'PnL Mnthly'!$A38,'TB Mnthly'!BE:BE)</f>
        <v/>
      </c>
      <c r="BE38" s="699">
        <f>SUM(AR38:BD38)</f>
        <v/>
      </c>
      <c r="BF38" s="699" t="n"/>
      <c r="BG38" s="698">
        <f>SUMIF('TB Mnthly'!$A:$A,'PnL Mnthly'!$A38,'TB Mnthly'!BH:BH)</f>
        <v/>
      </c>
      <c r="BH38" s="698">
        <f>SUMIF('TB Mnthly'!$A:$A,'PnL Mnthly'!$A38,'TB Mnthly'!BI:BI)</f>
        <v/>
      </c>
      <c r="BI38" s="698">
        <f>SUMIF('TB Mnthly'!$A:$A,'PnL Mnthly'!$A38,'TB Mnthly'!BJ:BJ)</f>
        <v/>
      </c>
      <c r="BJ38" s="698">
        <f>SUMIF('TB Mnthly'!$A:$A,'PnL Mnthly'!$A38,'TB Mnthly'!BK:BK)</f>
        <v/>
      </c>
      <c r="BK38" s="698">
        <f>SUMIF('TB Mnthly'!$A:$A,'PnL Mnthly'!$A38,'TB Mnthly'!BL:BL)</f>
        <v/>
      </c>
      <c r="BL38" s="698">
        <f>SUMIF('TB Mnthly'!$A:$A,'PnL Mnthly'!$A38,'TB Mnthly'!BM:BM)</f>
        <v/>
      </c>
      <c r="BM38" s="698">
        <f>SUMIF('TB Mnthly'!$A:$A,'PnL Mnthly'!$A38,'TB Mnthly'!BN:BN)</f>
        <v/>
      </c>
      <c r="BN38" s="698">
        <f>SUMIF('TB Mnthly'!$A:$A,'PnL Mnthly'!$A38,'TB Mnthly'!BO:BO)</f>
        <v/>
      </c>
      <c r="BO38" s="698">
        <f>SUMIF('TB Mnthly'!$A:$A,'PnL Mnthly'!$A38,'TB Mnthly'!BP:BP)</f>
        <v/>
      </c>
      <c r="BP38" s="698">
        <f>SUMIF('TB Mnthly'!$A:$A,'PnL Mnthly'!$A38,'TB Mnthly'!BQ:BQ)</f>
        <v/>
      </c>
      <c r="BQ38" s="698">
        <f>SUMIF('TB Mnthly'!$A:$A,'PnL Mnthly'!$A38,'TB Mnthly'!BR:BR)</f>
        <v/>
      </c>
      <c r="BR38" s="698">
        <f>SUMIF('TB Mnthly'!$A:$A,'PnL Mnthly'!$A38,'TB Mnthly'!BS:BS)</f>
        <v/>
      </c>
      <c r="BS38" s="699">
        <f>SUM(BF38:BR38)</f>
        <v/>
      </c>
    </row>
    <row r="39">
      <c r="A39" s="697" t="inlineStr">
        <is>
          <t>Admin Costs</t>
        </is>
      </c>
      <c r="B39" s="698">
        <f>SUMIF('TB Mnthly'!$A:$A,'PnL Mnthly'!$A39,'TB Mnthly'!C:C)</f>
        <v/>
      </c>
      <c r="C39" s="698">
        <f>SUMIF('TB Mnthly'!$A:$A,'PnL Mnthly'!$A39,'TB Mnthly'!D:D)</f>
        <v/>
      </c>
      <c r="D39" s="698">
        <f>SUMIF('TB Mnthly'!$A:$A,'PnL Mnthly'!$A39,'TB Mnthly'!E:E)</f>
        <v/>
      </c>
      <c r="E39" s="698">
        <f>SUMIF('TB Mnthly'!$A:$A,'PnL Mnthly'!$A39,'TB Mnthly'!F:F)</f>
        <v/>
      </c>
      <c r="F39" s="698">
        <f>SUMIF('TB Mnthly'!$A:$A,'PnL Mnthly'!$A39,'TB Mnthly'!G:G)</f>
        <v/>
      </c>
      <c r="G39" s="698">
        <f>SUMIF('TB Mnthly'!$A:$A,'PnL Mnthly'!$A39,'TB Mnthly'!H:H)</f>
        <v/>
      </c>
      <c r="H39" s="698">
        <f>SUMIF('TB Mnthly'!$A:$A,'PnL Mnthly'!$A39,'TB Mnthly'!I:I)</f>
        <v/>
      </c>
      <c r="I39" s="698">
        <f>SUMIF('TB Mnthly'!$A:$A,'PnL Mnthly'!$A39,'TB Mnthly'!J:J)</f>
        <v/>
      </c>
      <c r="J39" s="698">
        <f>SUMIF('TB Mnthly'!$A:$A,'PnL Mnthly'!$A39,'TB Mnthly'!K:K)</f>
        <v/>
      </c>
      <c r="K39" s="698">
        <f>SUMIF('TB Mnthly'!$A:$A,'PnL Mnthly'!$A39,'TB Mnthly'!L:L)</f>
        <v/>
      </c>
      <c r="L39" s="698">
        <f>SUMIF('TB Mnthly'!$A:$A,'PnL Mnthly'!$A39,'TB Mnthly'!M:M)</f>
        <v/>
      </c>
      <c r="M39" s="698">
        <f>SUMIF('TB Mnthly'!$A:$A,'PnL Mnthly'!$A39,'TB Mnthly'!N:N)</f>
        <v/>
      </c>
      <c r="N39" s="698">
        <f>SUMIF('TB Mnthly'!$A:$A,'PnL Mnthly'!$A39,'TB Mnthly'!O:O)</f>
        <v/>
      </c>
      <c r="O39" s="699">
        <f>SUM(B39:N39)</f>
        <v/>
      </c>
      <c r="P39" s="700" t="n"/>
      <c r="Q39" s="698">
        <f>SUMIF('TB Mnthly'!$A:$A,'PnL Mnthly'!$A39,'TB Mnthly'!R:R)</f>
        <v/>
      </c>
      <c r="R39" s="698">
        <f>SUMIF('TB Mnthly'!$A:$A,'PnL Mnthly'!$A39,'TB Mnthly'!S:S)</f>
        <v/>
      </c>
      <c r="S39" s="698">
        <f>SUMIF('TB Mnthly'!$A:$A,'PnL Mnthly'!$A39,'TB Mnthly'!T:T)</f>
        <v/>
      </c>
      <c r="T39" s="698">
        <f>SUMIF('TB Mnthly'!$A:$A,'PnL Mnthly'!$A39,'TB Mnthly'!U:U)</f>
        <v/>
      </c>
      <c r="U39" s="698">
        <f>SUMIF('TB Mnthly'!$A:$A,'PnL Mnthly'!$A39,'TB Mnthly'!V:V)</f>
        <v/>
      </c>
      <c r="V39" s="698">
        <f>SUMIF('TB Mnthly'!$A:$A,'PnL Mnthly'!$A39,'TB Mnthly'!W:W)</f>
        <v/>
      </c>
      <c r="W39" s="698">
        <f>SUMIF('TB Mnthly'!$A:$A,'PnL Mnthly'!$A39,'TB Mnthly'!X:X)</f>
        <v/>
      </c>
      <c r="X39" s="698">
        <f>SUMIF('TB Mnthly'!$A:$A,'PnL Mnthly'!$A39,'TB Mnthly'!Y:Y)</f>
        <v/>
      </c>
      <c r="Y39" s="698">
        <f>SUMIF('TB Mnthly'!$A:$A,'PnL Mnthly'!$A39,'TB Mnthly'!Z:Z)</f>
        <v/>
      </c>
      <c r="Z39" s="698">
        <f>SUMIF('TB Mnthly'!$A:$A,'PnL Mnthly'!$A39,'TB Mnthly'!AA:AA)</f>
        <v/>
      </c>
      <c r="AA39" s="698">
        <f>SUMIF('TB Mnthly'!$A:$A,'PnL Mnthly'!$A39,'TB Mnthly'!AB:AB)</f>
        <v/>
      </c>
      <c r="AB39" s="698">
        <f>SUMIF('TB Mnthly'!$A:$A,'PnL Mnthly'!$A39,'TB Mnthly'!AC:AC)</f>
        <v/>
      </c>
      <c r="AC39" s="699">
        <f>SUM(P39:AB39)</f>
        <v/>
      </c>
      <c r="AD39" s="701" t="n"/>
      <c r="AE39" s="698">
        <f>SUMIF('TB Mnthly'!$A:$A,'PnL Mnthly'!$A39,'TB Mnthly'!AF:AF)</f>
        <v/>
      </c>
      <c r="AF39" s="698">
        <f>SUMIF('TB Mnthly'!$A:$A,'PnL Mnthly'!$A39,'TB Mnthly'!AG:AG)</f>
        <v/>
      </c>
      <c r="AG39" s="698">
        <f>SUMIF('TB Mnthly'!$A:$A,'PnL Mnthly'!$A39,'TB Mnthly'!AH:AH)</f>
        <v/>
      </c>
      <c r="AH39" s="698">
        <f>SUMIF('TB Mnthly'!$A:$A,'PnL Mnthly'!$A39,'TB Mnthly'!AI:AI)</f>
        <v/>
      </c>
      <c r="AI39" s="698">
        <f>SUMIF('TB Mnthly'!$A:$A,'PnL Mnthly'!$A39,'TB Mnthly'!AJ:AJ)</f>
        <v/>
      </c>
      <c r="AJ39" s="698">
        <f>SUMIF('TB Mnthly'!$A:$A,'PnL Mnthly'!$A39,'TB Mnthly'!AK:AK)</f>
        <v/>
      </c>
      <c r="AK39" s="698">
        <f>SUMIF('TB Mnthly'!$A:$A,'PnL Mnthly'!$A39,'TB Mnthly'!AL:AL)</f>
        <v/>
      </c>
      <c r="AL39" s="698">
        <f>SUMIF('TB Mnthly'!$A:$A,'PnL Mnthly'!$A39,'TB Mnthly'!AM:AM)</f>
        <v/>
      </c>
      <c r="AM39" s="698">
        <f>SUMIF('TB Mnthly'!$A:$A,'PnL Mnthly'!$A39,'TB Mnthly'!AN:AN)</f>
        <v/>
      </c>
      <c r="AN39" s="698">
        <f>SUMIF('TB Mnthly'!$A:$A,'PnL Mnthly'!$A39,'TB Mnthly'!AO:AO)</f>
        <v/>
      </c>
      <c r="AO39" s="698">
        <f>SUMIF('TB Mnthly'!$A:$A,'PnL Mnthly'!$A39,'TB Mnthly'!AP:AP)</f>
        <v/>
      </c>
      <c r="AP39" s="698">
        <f>SUMIF('TB Mnthly'!$A:$A,'PnL Mnthly'!$A39,'TB Mnthly'!AQ:AQ)</f>
        <v/>
      </c>
      <c r="AQ39" s="699">
        <f>SUM(AD39:AP39)</f>
        <v/>
      </c>
      <c r="AR39" s="699" t="n"/>
      <c r="AS39" s="698">
        <f>SUMIF('TB Mnthly'!$A:$A,'PnL Mnthly'!$A39,'TB Mnthly'!AT:AT)</f>
        <v/>
      </c>
      <c r="AT39" s="698">
        <f>SUMIF('TB Mnthly'!$A:$A,'PnL Mnthly'!$A39,'TB Mnthly'!AU:AU)</f>
        <v/>
      </c>
      <c r="AU39" s="698">
        <f>SUMIF('TB Mnthly'!$A:$A,'PnL Mnthly'!$A39,'TB Mnthly'!AV:AV)</f>
        <v/>
      </c>
      <c r="AV39" s="698">
        <f>SUMIF('TB Mnthly'!$A:$A,'PnL Mnthly'!$A39,'TB Mnthly'!AW:AW)</f>
        <v/>
      </c>
      <c r="AW39" s="698">
        <f>SUMIF('TB Mnthly'!$A:$A,'PnL Mnthly'!$A39,'TB Mnthly'!AX:AX)</f>
        <v/>
      </c>
      <c r="AX39" s="698">
        <f>SUMIF('TB Mnthly'!$A:$A,'PnL Mnthly'!$A39,'TB Mnthly'!AY:AY)</f>
        <v/>
      </c>
      <c r="AY39" s="698">
        <f>SUMIF('TB Mnthly'!$A:$A,'PnL Mnthly'!$A39,'TB Mnthly'!AZ:AZ)</f>
        <v/>
      </c>
      <c r="AZ39" s="698">
        <f>SUMIF('TB Mnthly'!$A:$A,'PnL Mnthly'!$A39,'TB Mnthly'!BA:BA)</f>
        <v/>
      </c>
      <c r="BA39" s="698">
        <f>SUMIF('TB Mnthly'!$A:$A,'PnL Mnthly'!$A39,'TB Mnthly'!BB:BB)</f>
        <v/>
      </c>
      <c r="BB39" s="698">
        <f>SUMIF('TB Mnthly'!$A:$A,'PnL Mnthly'!$A39,'TB Mnthly'!BC:BC)</f>
        <v/>
      </c>
      <c r="BC39" s="698">
        <f>SUMIF('TB Mnthly'!$A:$A,'PnL Mnthly'!$A39,'TB Mnthly'!BD:BD)</f>
        <v/>
      </c>
      <c r="BD39" s="698">
        <f>SUMIF('TB Mnthly'!$A:$A,'PnL Mnthly'!$A39,'TB Mnthly'!BE:BE)</f>
        <v/>
      </c>
      <c r="BE39" s="699">
        <f>SUM(AR39:BD39)</f>
        <v/>
      </c>
      <c r="BF39" s="699" t="n"/>
      <c r="BG39" s="698">
        <f>SUMIF('TB Mnthly'!$A:$A,'PnL Mnthly'!$A39,'TB Mnthly'!BH:BH)</f>
        <v/>
      </c>
      <c r="BH39" s="698">
        <f>SUMIF('TB Mnthly'!$A:$A,'PnL Mnthly'!$A39,'TB Mnthly'!BI:BI)</f>
        <v/>
      </c>
      <c r="BI39" s="698">
        <f>SUMIF('TB Mnthly'!$A:$A,'PnL Mnthly'!$A39,'TB Mnthly'!BJ:BJ)</f>
        <v/>
      </c>
      <c r="BJ39" s="698">
        <f>SUMIF('TB Mnthly'!$A:$A,'PnL Mnthly'!$A39,'TB Mnthly'!BK:BK)</f>
        <v/>
      </c>
      <c r="BK39" s="698">
        <f>SUMIF('TB Mnthly'!$A:$A,'PnL Mnthly'!$A39,'TB Mnthly'!BL:BL)</f>
        <v/>
      </c>
      <c r="BL39" s="698">
        <f>SUMIF('TB Mnthly'!$A:$A,'PnL Mnthly'!$A39,'TB Mnthly'!BM:BM)</f>
        <v/>
      </c>
      <c r="BM39" s="698">
        <f>SUMIF('TB Mnthly'!$A:$A,'PnL Mnthly'!$A39,'TB Mnthly'!BN:BN)</f>
        <v/>
      </c>
      <c r="BN39" s="698">
        <f>SUMIF('TB Mnthly'!$A:$A,'PnL Mnthly'!$A39,'TB Mnthly'!BO:BO)</f>
        <v/>
      </c>
      <c r="BO39" s="698">
        <f>SUMIF('TB Mnthly'!$A:$A,'PnL Mnthly'!$A39,'TB Mnthly'!BP:BP)</f>
        <v/>
      </c>
      <c r="BP39" s="698">
        <f>SUMIF('TB Mnthly'!$A:$A,'PnL Mnthly'!$A39,'TB Mnthly'!BQ:BQ)</f>
        <v/>
      </c>
      <c r="BQ39" s="698">
        <f>SUMIF('TB Mnthly'!$A:$A,'PnL Mnthly'!$A39,'TB Mnthly'!BR:BR)</f>
        <v/>
      </c>
      <c r="BR39" s="698">
        <f>SUMIF('TB Mnthly'!$A:$A,'PnL Mnthly'!$A39,'TB Mnthly'!BS:BS)</f>
        <v/>
      </c>
      <c r="BS39" s="699">
        <f>SUM(BF39:BR39)</f>
        <v/>
      </c>
    </row>
    <row r="40">
      <c r="A40" s="697" t="inlineStr">
        <is>
          <t xml:space="preserve">Fibre optic lease </t>
        </is>
      </c>
      <c r="B40" s="698">
        <f>SUMIF('TB Mnthly'!$A:$A,'PnL Mnthly'!$A40,'TB Mnthly'!C:C)</f>
        <v/>
      </c>
      <c r="C40" s="698">
        <f>SUMIF('TB Mnthly'!$A:$A,'PnL Mnthly'!$A40,'TB Mnthly'!D:D)</f>
        <v/>
      </c>
      <c r="D40" s="698">
        <f>SUMIF('TB Mnthly'!$A:$A,'PnL Mnthly'!$A40,'TB Mnthly'!E:E)</f>
        <v/>
      </c>
      <c r="E40" s="698">
        <f>SUMIF('TB Mnthly'!$A:$A,'PnL Mnthly'!$A40,'TB Mnthly'!F:F)</f>
        <v/>
      </c>
      <c r="F40" s="698">
        <f>SUMIF('TB Mnthly'!$A:$A,'PnL Mnthly'!$A40,'TB Mnthly'!G:G)</f>
        <v/>
      </c>
      <c r="G40" s="698">
        <f>SUMIF('TB Mnthly'!$A:$A,'PnL Mnthly'!$A40,'TB Mnthly'!H:H)</f>
        <v/>
      </c>
      <c r="H40" s="698">
        <f>SUMIF('TB Mnthly'!$A:$A,'PnL Mnthly'!$A40,'TB Mnthly'!I:I)</f>
        <v/>
      </c>
      <c r="I40" s="698">
        <f>SUMIF('TB Mnthly'!$A:$A,'PnL Mnthly'!$A40,'TB Mnthly'!J:J)</f>
        <v/>
      </c>
      <c r="J40" s="698">
        <f>SUMIF('TB Mnthly'!$A:$A,'PnL Mnthly'!$A40,'TB Mnthly'!K:K)</f>
        <v/>
      </c>
      <c r="K40" s="698">
        <f>SUMIF('TB Mnthly'!$A:$A,'PnL Mnthly'!$A40,'TB Mnthly'!L:L)</f>
        <v/>
      </c>
      <c r="L40" s="698">
        <f>SUMIF('TB Mnthly'!$A:$A,'PnL Mnthly'!$A40,'TB Mnthly'!M:M)</f>
        <v/>
      </c>
      <c r="M40" s="698">
        <f>SUMIF('TB Mnthly'!$A:$A,'PnL Mnthly'!$A40,'TB Mnthly'!N:N)</f>
        <v/>
      </c>
      <c r="N40" s="698">
        <f>SUMIF('TB Mnthly'!$A:$A,'PnL Mnthly'!$A40,'TB Mnthly'!O:O)</f>
        <v/>
      </c>
      <c r="O40" s="699">
        <f>SUM(B40:N40)</f>
        <v/>
      </c>
      <c r="P40" s="700" t="n"/>
      <c r="Q40" s="698">
        <f>SUMIF('TB Mnthly'!$A:$A,'PnL Mnthly'!$A40,'TB Mnthly'!R:R)</f>
        <v/>
      </c>
      <c r="R40" s="698">
        <f>SUMIF('TB Mnthly'!$A:$A,'PnL Mnthly'!$A40,'TB Mnthly'!S:S)</f>
        <v/>
      </c>
      <c r="S40" s="698">
        <f>SUMIF('TB Mnthly'!$A:$A,'PnL Mnthly'!$A40,'TB Mnthly'!T:T)</f>
        <v/>
      </c>
      <c r="T40" s="698">
        <f>SUMIF('TB Mnthly'!$A:$A,'PnL Mnthly'!$A40,'TB Mnthly'!U:U)</f>
        <v/>
      </c>
      <c r="U40" s="698">
        <f>SUMIF('TB Mnthly'!$A:$A,'PnL Mnthly'!$A40,'TB Mnthly'!V:V)</f>
        <v/>
      </c>
      <c r="V40" s="698">
        <f>SUMIF('TB Mnthly'!$A:$A,'PnL Mnthly'!$A40,'TB Mnthly'!W:W)</f>
        <v/>
      </c>
      <c r="W40" s="698">
        <f>SUMIF('TB Mnthly'!$A:$A,'PnL Mnthly'!$A40,'TB Mnthly'!X:X)</f>
        <v/>
      </c>
      <c r="X40" s="698">
        <f>SUMIF('TB Mnthly'!$A:$A,'PnL Mnthly'!$A40,'TB Mnthly'!Y:Y)</f>
        <v/>
      </c>
      <c r="Y40" s="698">
        <f>SUMIF('TB Mnthly'!$A:$A,'PnL Mnthly'!$A40,'TB Mnthly'!Z:Z)</f>
        <v/>
      </c>
      <c r="Z40" s="698">
        <f>SUMIF('TB Mnthly'!$A:$A,'PnL Mnthly'!$A40,'TB Mnthly'!AA:AA)</f>
        <v/>
      </c>
      <c r="AA40" s="698">
        <f>SUMIF('TB Mnthly'!$A:$A,'PnL Mnthly'!$A40,'TB Mnthly'!AB:AB)</f>
        <v/>
      </c>
      <c r="AB40" s="698">
        <f>SUMIF('TB Mnthly'!$A:$A,'PnL Mnthly'!$A40,'TB Mnthly'!AC:AC)</f>
        <v/>
      </c>
      <c r="AC40" s="699">
        <f>SUM(P40:AB40)</f>
        <v/>
      </c>
      <c r="AD40" s="701" t="n"/>
      <c r="AE40" s="698">
        <f>SUMIF('TB Mnthly'!$A:$A,'PnL Mnthly'!$A40,'TB Mnthly'!AF:AF)</f>
        <v/>
      </c>
      <c r="AF40" s="698">
        <f>SUMIF('TB Mnthly'!$A:$A,'PnL Mnthly'!$A40,'TB Mnthly'!AG:AG)</f>
        <v/>
      </c>
      <c r="AG40" s="698">
        <f>SUMIF('TB Mnthly'!$A:$A,'PnL Mnthly'!$A40,'TB Mnthly'!AH:AH)</f>
        <v/>
      </c>
      <c r="AH40" s="698">
        <f>SUMIF('TB Mnthly'!$A:$A,'PnL Mnthly'!$A40,'TB Mnthly'!AI:AI)</f>
        <v/>
      </c>
      <c r="AI40" s="698">
        <f>SUMIF('TB Mnthly'!$A:$A,'PnL Mnthly'!$A40,'TB Mnthly'!AJ:AJ)</f>
        <v/>
      </c>
      <c r="AJ40" s="698">
        <f>SUMIF('TB Mnthly'!$A:$A,'PnL Mnthly'!$A40,'TB Mnthly'!AK:AK)</f>
        <v/>
      </c>
      <c r="AK40" s="698">
        <f>SUMIF('TB Mnthly'!$A:$A,'PnL Mnthly'!$A40,'TB Mnthly'!AL:AL)</f>
        <v/>
      </c>
      <c r="AL40" s="698">
        <f>SUMIF('TB Mnthly'!$A:$A,'PnL Mnthly'!$A40,'TB Mnthly'!AM:AM)</f>
        <v/>
      </c>
      <c r="AM40" s="698">
        <f>SUMIF('TB Mnthly'!$A:$A,'PnL Mnthly'!$A40,'TB Mnthly'!AN:AN)</f>
        <v/>
      </c>
      <c r="AN40" s="698">
        <f>SUMIF('TB Mnthly'!$A:$A,'PnL Mnthly'!$A40,'TB Mnthly'!AO:AO)</f>
        <v/>
      </c>
      <c r="AO40" s="698">
        <f>SUMIF('TB Mnthly'!$A:$A,'PnL Mnthly'!$A40,'TB Mnthly'!AP:AP)</f>
        <v/>
      </c>
      <c r="AP40" s="698">
        <f>SUMIF('TB Mnthly'!$A:$A,'PnL Mnthly'!$A40,'TB Mnthly'!AQ:AQ)</f>
        <v/>
      </c>
      <c r="AQ40" s="699">
        <f>SUM(AD40:AP40)</f>
        <v/>
      </c>
      <c r="AR40" s="699" t="n"/>
      <c r="AS40" s="698">
        <f>SUMIF('TB Mnthly'!$A:$A,'PnL Mnthly'!$A40,'TB Mnthly'!AT:AT)</f>
        <v/>
      </c>
      <c r="AT40" s="698">
        <f>SUMIF('TB Mnthly'!$A:$A,'PnL Mnthly'!$A40,'TB Mnthly'!AU:AU)</f>
        <v/>
      </c>
      <c r="AU40" s="698">
        <f>SUMIF('TB Mnthly'!$A:$A,'PnL Mnthly'!$A40,'TB Mnthly'!AV:AV)</f>
        <v/>
      </c>
      <c r="AV40" s="698">
        <f>SUMIF('TB Mnthly'!$A:$A,'PnL Mnthly'!$A40,'TB Mnthly'!AW:AW)</f>
        <v/>
      </c>
      <c r="AW40" s="698">
        <f>SUMIF('TB Mnthly'!$A:$A,'PnL Mnthly'!$A40,'TB Mnthly'!AX:AX)</f>
        <v/>
      </c>
      <c r="AX40" s="698">
        <f>SUMIF('TB Mnthly'!$A:$A,'PnL Mnthly'!$A40,'TB Mnthly'!AY:AY)</f>
        <v/>
      </c>
      <c r="AY40" s="698">
        <f>SUMIF('TB Mnthly'!$A:$A,'PnL Mnthly'!$A40,'TB Mnthly'!AZ:AZ)</f>
        <v/>
      </c>
      <c r="AZ40" s="698">
        <f>SUMIF('TB Mnthly'!$A:$A,'PnL Mnthly'!$A40,'TB Mnthly'!BA:BA)</f>
        <v/>
      </c>
      <c r="BA40" s="698">
        <f>SUMIF('TB Mnthly'!$A:$A,'PnL Mnthly'!$A40,'TB Mnthly'!BB:BB)</f>
        <v/>
      </c>
      <c r="BB40" s="698">
        <f>SUMIF('TB Mnthly'!$A:$A,'PnL Mnthly'!$A40,'TB Mnthly'!BC:BC)</f>
        <v/>
      </c>
      <c r="BC40" s="698">
        <f>SUMIF('TB Mnthly'!$A:$A,'PnL Mnthly'!$A40,'TB Mnthly'!BD:BD)</f>
        <v/>
      </c>
      <c r="BD40" s="698">
        <f>SUMIF('TB Mnthly'!$A:$A,'PnL Mnthly'!$A40,'TB Mnthly'!BE:BE)</f>
        <v/>
      </c>
      <c r="BE40" s="699">
        <f>SUM(AR40:BD40)</f>
        <v/>
      </c>
      <c r="BF40" s="699" t="n"/>
      <c r="BG40" s="698">
        <f>SUMIF('TB Mnthly'!$A:$A,'PnL Mnthly'!$A40,'TB Mnthly'!BH:BH)</f>
        <v/>
      </c>
      <c r="BH40" s="698">
        <f>SUMIF('TB Mnthly'!$A:$A,'PnL Mnthly'!$A40,'TB Mnthly'!BI:BI)</f>
        <v/>
      </c>
      <c r="BI40" s="698">
        <f>SUMIF('TB Mnthly'!$A:$A,'PnL Mnthly'!$A40,'TB Mnthly'!BJ:BJ)</f>
        <v/>
      </c>
      <c r="BJ40" s="698">
        <f>SUMIF('TB Mnthly'!$A:$A,'PnL Mnthly'!$A40,'TB Mnthly'!BK:BK)</f>
        <v/>
      </c>
      <c r="BK40" s="698">
        <f>SUMIF('TB Mnthly'!$A:$A,'PnL Mnthly'!$A40,'TB Mnthly'!BL:BL)</f>
        <v/>
      </c>
      <c r="BL40" s="698">
        <f>SUMIF('TB Mnthly'!$A:$A,'PnL Mnthly'!$A40,'TB Mnthly'!BM:BM)</f>
        <v/>
      </c>
      <c r="BM40" s="698">
        <f>SUMIF('TB Mnthly'!$A:$A,'PnL Mnthly'!$A40,'TB Mnthly'!BN:BN)</f>
        <v/>
      </c>
      <c r="BN40" s="698">
        <f>SUMIF('TB Mnthly'!$A:$A,'PnL Mnthly'!$A40,'TB Mnthly'!BO:BO)</f>
        <v/>
      </c>
      <c r="BO40" s="698">
        <f>SUMIF('TB Mnthly'!$A:$A,'PnL Mnthly'!$A40,'TB Mnthly'!BP:BP)</f>
        <v/>
      </c>
      <c r="BP40" s="698">
        <f>SUMIF('TB Mnthly'!$A:$A,'PnL Mnthly'!$A40,'TB Mnthly'!BQ:BQ)</f>
        <v/>
      </c>
      <c r="BQ40" s="698">
        <f>SUMIF('TB Mnthly'!$A:$A,'PnL Mnthly'!$A40,'TB Mnthly'!BR:BR)</f>
        <v/>
      </c>
      <c r="BR40" s="698">
        <f>SUMIF('TB Mnthly'!$A:$A,'PnL Mnthly'!$A40,'TB Mnthly'!BS:BS)</f>
        <v/>
      </c>
      <c r="BS40" s="699">
        <f>SUM(BF40:BR40)</f>
        <v/>
      </c>
    </row>
    <row r="41">
      <c r="A41" s="697" t="inlineStr">
        <is>
          <t>Professional and Legal Costs</t>
        </is>
      </c>
      <c r="B41" s="698">
        <f>SUMIF('TB Mnthly'!$A:$A,'PnL Mnthly'!$A41,'TB Mnthly'!C:C)</f>
        <v/>
      </c>
      <c r="C41" s="698">
        <f>SUMIF('TB Mnthly'!$A:$A,'PnL Mnthly'!$A41,'TB Mnthly'!D:D)</f>
        <v/>
      </c>
      <c r="D41" s="698">
        <f>SUMIF('TB Mnthly'!$A:$A,'PnL Mnthly'!$A41,'TB Mnthly'!E:E)</f>
        <v/>
      </c>
      <c r="E41" s="698">
        <f>SUMIF('TB Mnthly'!$A:$A,'PnL Mnthly'!$A41,'TB Mnthly'!F:F)</f>
        <v/>
      </c>
      <c r="F41" s="698">
        <f>SUMIF('TB Mnthly'!$A:$A,'PnL Mnthly'!$A41,'TB Mnthly'!G:G)</f>
        <v/>
      </c>
      <c r="G41" s="698">
        <f>SUMIF('TB Mnthly'!$A:$A,'PnL Mnthly'!$A41,'TB Mnthly'!H:H)</f>
        <v/>
      </c>
      <c r="H41" s="698">
        <f>SUMIF('TB Mnthly'!$A:$A,'PnL Mnthly'!$A41,'TB Mnthly'!I:I)</f>
        <v/>
      </c>
      <c r="I41" s="698">
        <f>SUMIF('TB Mnthly'!$A:$A,'PnL Mnthly'!$A41,'TB Mnthly'!J:J)</f>
        <v/>
      </c>
      <c r="J41" s="698">
        <f>SUMIF('TB Mnthly'!$A:$A,'PnL Mnthly'!$A41,'TB Mnthly'!K:K)</f>
        <v/>
      </c>
      <c r="K41" s="698">
        <f>SUMIF('TB Mnthly'!$A:$A,'PnL Mnthly'!$A41,'TB Mnthly'!L:L)</f>
        <v/>
      </c>
      <c r="L41" s="698">
        <f>SUMIF('TB Mnthly'!$A:$A,'PnL Mnthly'!$A41,'TB Mnthly'!M:M)</f>
        <v/>
      </c>
      <c r="M41" s="698">
        <f>SUMIF('TB Mnthly'!$A:$A,'PnL Mnthly'!$A41,'TB Mnthly'!N:N)</f>
        <v/>
      </c>
      <c r="N41" s="698">
        <f>SUMIF('TB Mnthly'!$A:$A,'PnL Mnthly'!$A41,'TB Mnthly'!O:O)</f>
        <v/>
      </c>
      <c r="O41" s="699">
        <f>SUM(B41:N41)</f>
        <v/>
      </c>
      <c r="P41" s="700" t="n"/>
      <c r="Q41" s="698">
        <f>SUMIF('TB Mnthly'!$A:$A,'PnL Mnthly'!$A41,'TB Mnthly'!R:R)</f>
        <v/>
      </c>
      <c r="R41" s="698">
        <f>SUMIF('TB Mnthly'!$A:$A,'PnL Mnthly'!$A41,'TB Mnthly'!S:S)</f>
        <v/>
      </c>
      <c r="S41" s="698">
        <f>SUMIF('TB Mnthly'!$A:$A,'PnL Mnthly'!$A41,'TB Mnthly'!T:T)</f>
        <v/>
      </c>
      <c r="T41" s="698">
        <f>SUMIF('TB Mnthly'!$A:$A,'PnL Mnthly'!$A41,'TB Mnthly'!U:U)</f>
        <v/>
      </c>
      <c r="U41" s="698">
        <f>SUMIF('TB Mnthly'!$A:$A,'PnL Mnthly'!$A41,'TB Mnthly'!V:V)</f>
        <v/>
      </c>
      <c r="V41" s="698">
        <f>SUMIF('TB Mnthly'!$A:$A,'PnL Mnthly'!$A41,'TB Mnthly'!W:W)</f>
        <v/>
      </c>
      <c r="W41" s="698">
        <f>SUMIF('TB Mnthly'!$A:$A,'PnL Mnthly'!$A41,'TB Mnthly'!X:X)</f>
        <v/>
      </c>
      <c r="X41" s="698">
        <f>SUMIF('TB Mnthly'!$A:$A,'PnL Mnthly'!$A41,'TB Mnthly'!Y:Y)</f>
        <v/>
      </c>
      <c r="Y41" s="698">
        <f>SUMIF('TB Mnthly'!$A:$A,'PnL Mnthly'!$A41,'TB Mnthly'!Z:Z)</f>
        <v/>
      </c>
      <c r="Z41" s="698">
        <f>SUMIF('TB Mnthly'!$A:$A,'PnL Mnthly'!$A41,'TB Mnthly'!AA:AA)</f>
        <v/>
      </c>
      <c r="AA41" s="698">
        <f>SUMIF('TB Mnthly'!$A:$A,'PnL Mnthly'!$A41,'TB Mnthly'!AB:AB)</f>
        <v/>
      </c>
      <c r="AB41" s="698">
        <f>SUMIF('TB Mnthly'!$A:$A,'PnL Mnthly'!$A41,'TB Mnthly'!AC:AC)</f>
        <v/>
      </c>
      <c r="AC41" s="699">
        <f>SUM(P41:AB41)</f>
        <v/>
      </c>
      <c r="AD41" s="701" t="n"/>
      <c r="AE41" s="698">
        <f>SUMIF('TB Mnthly'!$A:$A,'PnL Mnthly'!$A41,'TB Mnthly'!AF:AF)</f>
        <v/>
      </c>
      <c r="AF41" s="698">
        <f>SUMIF('TB Mnthly'!$A:$A,'PnL Mnthly'!$A41,'TB Mnthly'!AG:AG)</f>
        <v/>
      </c>
      <c r="AG41" s="698">
        <f>SUMIF('TB Mnthly'!$A:$A,'PnL Mnthly'!$A41,'TB Mnthly'!AH:AH)</f>
        <v/>
      </c>
      <c r="AH41" s="698">
        <f>SUMIF('TB Mnthly'!$A:$A,'PnL Mnthly'!$A41,'TB Mnthly'!AI:AI)</f>
        <v/>
      </c>
      <c r="AI41" s="698">
        <f>SUMIF('TB Mnthly'!$A:$A,'PnL Mnthly'!$A41,'TB Mnthly'!AJ:AJ)</f>
        <v/>
      </c>
      <c r="AJ41" s="698">
        <f>SUMIF('TB Mnthly'!$A:$A,'PnL Mnthly'!$A41,'TB Mnthly'!AK:AK)</f>
        <v/>
      </c>
      <c r="AK41" s="698">
        <f>SUMIF('TB Mnthly'!$A:$A,'PnL Mnthly'!$A41,'TB Mnthly'!AL:AL)</f>
        <v/>
      </c>
      <c r="AL41" s="698">
        <f>SUMIF('TB Mnthly'!$A:$A,'PnL Mnthly'!$A41,'TB Mnthly'!AM:AM)</f>
        <v/>
      </c>
      <c r="AM41" s="698">
        <f>SUMIF('TB Mnthly'!$A:$A,'PnL Mnthly'!$A41,'TB Mnthly'!AN:AN)</f>
        <v/>
      </c>
      <c r="AN41" s="698">
        <f>SUMIF('TB Mnthly'!$A:$A,'PnL Mnthly'!$A41,'TB Mnthly'!AO:AO)</f>
        <v/>
      </c>
      <c r="AO41" s="698">
        <f>SUMIF('TB Mnthly'!$A:$A,'PnL Mnthly'!$A41,'TB Mnthly'!AP:AP)</f>
        <v/>
      </c>
      <c r="AP41" s="698">
        <f>SUMIF('TB Mnthly'!$A:$A,'PnL Mnthly'!$A41,'TB Mnthly'!AQ:AQ)</f>
        <v/>
      </c>
      <c r="AQ41" s="699">
        <f>SUM(AD41:AP41)</f>
        <v/>
      </c>
      <c r="AR41" s="699" t="n"/>
      <c r="AS41" s="698">
        <f>SUMIF('TB Mnthly'!$A:$A,'PnL Mnthly'!$A41,'TB Mnthly'!AT:AT)</f>
        <v/>
      </c>
      <c r="AT41" s="698">
        <f>SUMIF('TB Mnthly'!$A:$A,'PnL Mnthly'!$A41,'TB Mnthly'!AU:AU)</f>
        <v/>
      </c>
      <c r="AU41" s="698">
        <f>SUMIF('TB Mnthly'!$A:$A,'PnL Mnthly'!$A41,'TB Mnthly'!AV:AV)</f>
        <v/>
      </c>
      <c r="AV41" s="698">
        <f>SUMIF('TB Mnthly'!$A:$A,'PnL Mnthly'!$A41,'TB Mnthly'!AW:AW)</f>
        <v/>
      </c>
      <c r="AW41" s="698">
        <f>SUMIF('TB Mnthly'!$A:$A,'PnL Mnthly'!$A41,'TB Mnthly'!AX:AX)</f>
        <v/>
      </c>
      <c r="AX41" s="698">
        <f>SUMIF('TB Mnthly'!$A:$A,'PnL Mnthly'!$A41,'TB Mnthly'!AY:AY)</f>
        <v/>
      </c>
      <c r="AY41" s="698">
        <f>SUMIF('TB Mnthly'!$A:$A,'PnL Mnthly'!$A41,'TB Mnthly'!AZ:AZ)</f>
        <v/>
      </c>
      <c r="AZ41" s="698">
        <f>SUMIF('TB Mnthly'!$A:$A,'PnL Mnthly'!$A41,'TB Mnthly'!BA:BA)</f>
        <v/>
      </c>
      <c r="BA41" s="698">
        <f>SUMIF('TB Mnthly'!$A:$A,'PnL Mnthly'!$A41,'TB Mnthly'!BB:BB)</f>
        <v/>
      </c>
      <c r="BB41" s="698">
        <f>SUMIF('TB Mnthly'!$A:$A,'PnL Mnthly'!$A41,'TB Mnthly'!BC:BC)</f>
        <v/>
      </c>
      <c r="BC41" s="698">
        <f>SUMIF('TB Mnthly'!$A:$A,'PnL Mnthly'!$A41,'TB Mnthly'!BD:BD)</f>
        <v/>
      </c>
      <c r="BD41" s="698">
        <f>SUMIF('TB Mnthly'!$A:$A,'PnL Mnthly'!$A41,'TB Mnthly'!BE:BE)</f>
        <v/>
      </c>
      <c r="BE41" s="699">
        <f>SUM(AR41:BD41)</f>
        <v/>
      </c>
      <c r="BF41" s="699" t="n"/>
      <c r="BG41" s="698">
        <f>SUMIF('TB Mnthly'!$A:$A,'PnL Mnthly'!$A41,'TB Mnthly'!BH:BH)</f>
        <v/>
      </c>
      <c r="BH41" s="698">
        <f>SUMIF('TB Mnthly'!$A:$A,'PnL Mnthly'!$A41,'TB Mnthly'!BI:BI)</f>
        <v/>
      </c>
      <c r="BI41" s="698">
        <f>SUMIF('TB Mnthly'!$A:$A,'PnL Mnthly'!$A41,'TB Mnthly'!BJ:BJ)</f>
        <v/>
      </c>
      <c r="BJ41" s="698">
        <f>SUMIF('TB Mnthly'!$A:$A,'PnL Mnthly'!$A41,'TB Mnthly'!BK:BK)</f>
        <v/>
      </c>
      <c r="BK41" s="698">
        <f>SUMIF('TB Mnthly'!$A:$A,'PnL Mnthly'!$A41,'TB Mnthly'!BL:BL)</f>
        <v/>
      </c>
      <c r="BL41" s="698">
        <f>SUMIF('TB Mnthly'!$A:$A,'PnL Mnthly'!$A41,'TB Mnthly'!BM:BM)</f>
        <v/>
      </c>
      <c r="BM41" s="698">
        <f>SUMIF('TB Mnthly'!$A:$A,'PnL Mnthly'!$A41,'TB Mnthly'!BN:BN)</f>
        <v/>
      </c>
      <c r="BN41" s="698">
        <f>SUMIF('TB Mnthly'!$A:$A,'PnL Mnthly'!$A41,'TB Mnthly'!BO:BO)</f>
        <v/>
      </c>
      <c r="BO41" s="698">
        <f>SUMIF('TB Mnthly'!$A:$A,'PnL Mnthly'!$A41,'TB Mnthly'!BP:BP)</f>
        <v/>
      </c>
      <c r="BP41" s="698">
        <f>SUMIF('TB Mnthly'!$A:$A,'PnL Mnthly'!$A41,'TB Mnthly'!BQ:BQ)</f>
        <v/>
      </c>
      <c r="BQ41" s="698">
        <f>SUMIF('TB Mnthly'!$A:$A,'PnL Mnthly'!$A41,'TB Mnthly'!BR:BR)</f>
        <v/>
      </c>
      <c r="BR41" s="698">
        <f>SUMIF('TB Mnthly'!$A:$A,'PnL Mnthly'!$A41,'TB Mnthly'!BS:BS)</f>
        <v/>
      </c>
      <c r="BS41" s="699">
        <f>SUM(BF41:BR41)</f>
        <v/>
      </c>
    </row>
    <row r="42">
      <c r="A42" s="697" t="inlineStr">
        <is>
          <t>Insurances</t>
        </is>
      </c>
      <c r="B42" s="698">
        <f>SUMIF('TB Mnthly'!$A:$A,'PnL Mnthly'!$A42,'TB Mnthly'!C:C)</f>
        <v/>
      </c>
      <c r="C42" s="698">
        <f>SUMIF('TB Mnthly'!$A:$A,'PnL Mnthly'!$A42,'TB Mnthly'!D:D)</f>
        <v/>
      </c>
      <c r="D42" s="698">
        <f>SUMIF('TB Mnthly'!$A:$A,'PnL Mnthly'!$A42,'TB Mnthly'!E:E)</f>
        <v/>
      </c>
      <c r="E42" s="698">
        <f>SUMIF('TB Mnthly'!$A:$A,'PnL Mnthly'!$A42,'TB Mnthly'!F:F)</f>
        <v/>
      </c>
      <c r="F42" s="698">
        <f>SUMIF('TB Mnthly'!$A:$A,'PnL Mnthly'!$A42,'TB Mnthly'!G:G)</f>
        <v/>
      </c>
      <c r="G42" s="698">
        <f>SUMIF('TB Mnthly'!$A:$A,'PnL Mnthly'!$A42,'TB Mnthly'!H:H)</f>
        <v/>
      </c>
      <c r="H42" s="698">
        <f>SUMIF('TB Mnthly'!$A:$A,'PnL Mnthly'!$A42,'TB Mnthly'!I:I)</f>
        <v/>
      </c>
      <c r="I42" s="698">
        <f>SUMIF('TB Mnthly'!$A:$A,'PnL Mnthly'!$A42,'TB Mnthly'!J:J)</f>
        <v/>
      </c>
      <c r="J42" s="698">
        <f>SUMIF('TB Mnthly'!$A:$A,'PnL Mnthly'!$A42,'TB Mnthly'!K:K)</f>
        <v/>
      </c>
      <c r="K42" s="698">
        <f>SUMIF('TB Mnthly'!$A:$A,'PnL Mnthly'!$A42,'TB Mnthly'!L:L)</f>
        <v/>
      </c>
      <c r="L42" s="698">
        <f>SUMIF('TB Mnthly'!$A:$A,'PnL Mnthly'!$A42,'TB Mnthly'!M:M)</f>
        <v/>
      </c>
      <c r="M42" s="698">
        <f>SUMIF('TB Mnthly'!$A:$A,'PnL Mnthly'!$A42,'TB Mnthly'!N:N)</f>
        <v/>
      </c>
      <c r="N42" s="698">
        <f>SUMIF('TB Mnthly'!$A:$A,'PnL Mnthly'!$A42,'TB Mnthly'!O:O)</f>
        <v/>
      </c>
      <c r="O42" s="699">
        <f>SUM(B42:N42)</f>
        <v/>
      </c>
      <c r="P42" s="700" t="n"/>
      <c r="Q42" s="698">
        <f>SUMIF('TB Mnthly'!$A:$A,'PnL Mnthly'!$A42,'TB Mnthly'!R:R)</f>
        <v/>
      </c>
      <c r="R42" s="698">
        <f>SUMIF('TB Mnthly'!$A:$A,'PnL Mnthly'!$A42,'TB Mnthly'!S:S)</f>
        <v/>
      </c>
      <c r="S42" s="698">
        <f>SUMIF('TB Mnthly'!$A:$A,'PnL Mnthly'!$A42,'TB Mnthly'!T:T)</f>
        <v/>
      </c>
      <c r="T42" s="698">
        <f>SUMIF('TB Mnthly'!$A:$A,'PnL Mnthly'!$A42,'TB Mnthly'!U:U)</f>
        <v/>
      </c>
      <c r="U42" s="698">
        <f>SUMIF('TB Mnthly'!$A:$A,'PnL Mnthly'!$A42,'TB Mnthly'!V:V)</f>
        <v/>
      </c>
      <c r="V42" s="698">
        <f>SUMIF('TB Mnthly'!$A:$A,'PnL Mnthly'!$A42,'TB Mnthly'!W:W)</f>
        <v/>
      </c>
      <c r="W42" s="698">
        <f>SUMIF('TB Mnthly'!$A:$A,'PnL Mnthly'!$A42,'TB Mnthly'!X:X)</f>
        <v/>
      </c>
      <c r="X42" s="698">
        <f>SUMIF('TB Mnthly'!$A:$A,'PnL Mnthly'!$A42,'TB Mnthly'!Y:Y)</f>
        <v/>
      </c>
      <c r="Y42" s="698">
        <f>SUMIF('TB Mnthly'!$A:$A,'PnL Mnthly'!$A42,'TB Mnthly'!Z:Z)</f>
        <v/>
      </c>
      <c r="Z42" s="698">
        <f>SUMIF('TB Mnthly'!$A:$A,'PnL Mnthly'!$A42,'TB Mnthly'!AA:AA)</f>
        <v/>
      </c>
      <c r="AA42" s="698">
        <f>SUMIF('TB Mnthly'!$A:$A,'PnL Mnthly'!$A42,'TB Mnthly'!AB:AB)</f>
        <v/>
      </c>
      <c r="AB42" s="698">
        <f>SUMIF('TB Mnthly'!$A:$A,'PnL Mnthly'!$A42,'TB Mnthly'!AC:AC)</f>
        <v/>
      </c>
      <c r="AC42" s="699">
        <f>SUM(P42:AB42)</f>
        <v/>
      </c>
      <c r="AD42" s="701" t="n"/>
      <c r="AE42" s="698">
        <f>SUMIF('TB Mnthly'!$A:$A,'PnL Mnthly'!$A42,'TB Mnthly'!AF:AF)</f>
        <v/>
      </c>
      <c r="AF42" s="698">
        <f>SUMIF('TB Mnthly'!$A:$A,'PnL Mnthly'!$A42,'TB Mnthly'!AG:AG)</f>
        <v/>
      </c>
      <c r="AG42" s="698">
        <f>SUMIF('TB Mnthly'!$A:$A,'PnL Mnthly'!$A42,'TB Mnthly'!AH:AH)</f>
        <v/>
      </c>
      <c r="AH42" s="698">
        <f>SUMIF('TB Mnthly'!$A:$A,'PnL Mnthly'!$A42,'TB Mnthly'!AI:AI)</f>
        <v/>
      </c>
      <c r="AI42" s="698">
        <f>SUMIF('TB Mnthly'!$A:$A,'PnL Mnthly'!$A42,'TB Mnthly'!AJ:AJ)</f>
        <v/>
      </c>
      <c r="AJ42" s="698">
        <f>SUMIF('TB Mnthly'!$A:$A,'PnL Mnthly'!$A42,'TB Mnthly'!AK:AK)</f>
        <v/>
      </c>
      <c r="AK42" s="698">
        <f>SUMIF('TB Mnthly'!$A:$A,'PnL Mnthly'!$A42,'TB Mnthly'!AL:AL)</f>
        <v/>
      </c>
      <c r="AL42" s="698">
        <f>SUMIF('TB Mnthly'!$A:$A,'PnL Mnthly'!$A42,'TB Mnthly'!AM:AM)</f>
        <v/>
      </c>
      <c r="AM42" s="698">
        <f>SUMIF('TB Mnthly'!$A:$A,'PnL Mnthly'!$A42,'TB Mnthly'!AN:AN)</f>
        <v/>
      </c>
      <c r="AN42" s="698">
        <f>SUMIF('TB Mnthly'!$A:$A,'PnL Mnthly'!$A42,'TB Mnthly'!AO:AO)</f>
        <v/>
      </c>
      <c r="AO42" s="698">
        <f>SUMIF('TB Mnthly'!$A:$A,'PnL Mnthly'!$A42,'TB Mnthly'!AP:AP)</f>
        <v/>
      </c>
      <c r="AP42" s="698">
        <f>SUMIF('TB Mnthly'!$A:$A,'PnL Mnthly'!$A42,'TB Mnthly'!AQ:AQ)</f>
        <v/>
      </c>
      <c r="AQ42" s="699">
        <f>SUM(AD42:AP42)</f>
        <v/>
      </c>
      <c r="AR42" s="699" t="n"/>
      <c r="AS42" s="698">
        <f>SUMIF('TB Mnthly'!$A:$A,'PnL Mnthly'!$A42,'TB Mnthly'!AT:AT)</f>
        <v/>
      </c>
      <c r="AT42" s="698">
        <f>SUMIF('TB Mnthly'!$A:$A,'PnL Mnthly'!$A42,'TB Mnthly'!AU:AU)</f>
        <v/>
      </c>
      <c r="AU42" s="698">
        <f>SUMIF('TB Mnthly'!$A:$A,'PnL Mnthly'!$A42,'TB Mnthly'!AV:AV)</f>
        <v/>
      </c>
      <c r="AV42" s="698">
        <f>SUMIF('TB Mnthly'!$A:$A,'PnL Mnthly'!$A42,'TB Mnthly'!AW:AW)</f>
        <v/>
      </c>
      <c r="AW42" s="698">
        <f>SUMIF('TB Mnthly'!$A:$A,'PnL Mnthly'!$A42,'TB Mnthly'!AX:AX)</f>
        <v/>
      </c>
      <c r="AX42" s="698">
        <f>SUMIF('TB Mnthly'!$A:$A,'PnL Mnthly'!$A42,'TB Mnthly'!AY:AY)</f>
        <v/>
      </c>
      <c r="AY42" s="698">
        <f>SUMIF('TB Mnthly'!$A:$A,'PnL Mnthly'!$A42,'TB Mnthly'!AZ:AZ)</f>
        <v/>
      </c>
      <c r="AZ42" s="698">
        <f>SUMIF('TB Mnthly'!$A:$A,'PnL Mnthly'!$A42,'TB Mnthly'!BA:BA)</f>
        <v/>
      </c>
      <c r="BA42" s="698">
        <f>SUMIF('TB Mnthly'!$A:$A,'PnL Mnthly'!$A42,'TB Mnthly'!BB:BB)</f>
        <v/>
      </c>
      <c r="BB42" s="698">
        <f>SUMIF('TB Mnthly'!$A:$A,'PnL Mnthly'!$A42,'TB Mnthly'!BC:BC)</f>
        <v/>
      </c>
      <c r="BC42" s="698">
        <f>SUMIF('TB Mnthly'!$A:$A,'PnL Mnthly'!$A42,'TB Mnthly'!BD:BD)</f>
        <v/>
      </c>
      <c r="BD42" s="698">
        <f>SUMIF('TB Mnthly'!$A:$A,'PnL Mnthly'!$A42,'TB Mnthly'!BE:BE)</f>
        <v/>
      </c>
      <c r="BE42" s="699">
        <f>SUM(AR42:BD42)</f>
        <v/>
      </c>
      <c r="BF42" s="699" t="n"/>
      <c r="BG42" s="698">
        <f>SUMIF('TB Mnthly'!$A:$A,'PnL Mnthly'!$A42,'TB Mnthly'!BH:BH)</f>
        <v/>
      </c>
      <c r="BH42" s="698">
        <f>SUMIF('TB Mnthly'!$A:$A,'PnL Mnthly'!$A42,'TB Mnthly'!BI:BI)</f>
        <v/>
      </c>
      <c r="BI42" s="698">
        <f>SUMIF('TB Mnthly'!$A:$A,'PnL Mnthly'!$A42,'TB Mnthly'!BJ:BJ)</f>
        <v/>
      </c>
      <c r="BJ42" s="698">
        <f>SUMIF('TB Mnthly'!$A:$A,'PnL Mnthly'!$A42,'TB Mnthly'!BK:BK)</f>
        <v/>
      </c>
      <c r="BK42" s="698">
        <f>SUMIF('TB Mnthly'!$A:$A,'PnL Mnthly'!$A42,'TB Mnthly'!BL:BL)</f>
        <v/>
      </c>
      <c r="BL42" s="698">
        <f>SUMIF('TB Mnthly'!$A:$A,'PnL Mnthly'!$A42,'TB Mnthly'!BM:BM)</f>
        <v/>
      </c>
      <c r="BM42" s="698">
        <f>SUMIF('TB Mnthly'!$A:$A,'PnL Mnthly'!$A42,'TB Mnthly'!BN:BN)</f>
        <v/>
      </c>
      <c r="BN42" s="698">
        <f>SUMIF('TB Mnthly'!$A:$A,'PnL Mnthly'!$A42,'TB Mnthly'!BO:BO)</f>
        <v/>
      </c>
      <c r="BO42" s="698">
        <f>SUMIF('TB Mnthly'!$A:$A,'PnL Mnthly'!$A42,'TB Mnthly'!BP:BP)</f>
        <v/>
      </c>
      <c r="BP42" s="698">
        <f>SUMIF('TB Mnthly'!$A:$A,'PnL Mnthly'!$A42,'TB Mnthly'!BQ:BQ)</f>
        <v/>
      </c>
      <c r="BQ42" s="698">
        <f>SUMIF('TB Mnthly'!$A:$A,'PnL Mnthly'!$A42,'TB Mnthly'!BR:BR)</f>
        <v/>
      </c>
      <c r="BR42" s="698">
        <f>SUMIF('TB Mnthly'!$A:$A,'PnL Mnthly'!$A42,'TB Mnthly'!BS:BS)</f>
        <v/>
      </c>
      <c r="BS42" s="699">
        <f>SUM(BF42:BR42)</f>
        <v/>
      </c>
    </row>
    <row r="43">
      <c r="A43" s="697" t="inlineStr">
        <is>
          <t>Bank Charges</t>
        </is>
      </c>
      <c r="B43" s="698">
        <f>SUMIF('TB Mnthly'!$A:$A,'PnL Mnthly'!$A43,'TB Mnthly'!C:C)</f>
        <v/>
      </c>
      <c r="C43" s="698">
        <f>SUMIF('TB Mnthly'!$A:$A,'PnL Mnthly'!$A43,'TB Mnthly'!D:D)</f>
        <v/>
      </c>
      <c r="D43" s="698">
        <f>SUMIF('TB Mnthly'!$A:$A,'PnL Mnthly'!$A43,'TB Mnthly'!E:E)</f>
        <v/>
      </c>
      <c r="E43" s="698">
        <f>SUMIF('TB Mnthly'!$A:$A,'PnL Mnthly'!$A43,'TB Mnthly'!F:F)</f>
        <v/>
      </c>
      <c r="F43" s="698">
        <f>SUMIF('TB Mnthly'!$A:$A,'PnL Mnthly'!$A43,'TB Mnthly'!G:G)</f>
        <v/>
      </c>
      <c r="G43" s="698">
        <f>SUMIF('TB Mnthly'!$A:$A,'PnL Mnthly'!$A43,'TB Mnthly'!H:H)</f>
        <v/>
      </c>
      <c r="H43" s="698">
        <f>SUMIF('TB Mnthly'!$A:$A,'PnL Mnthly'!$A43,'TB Mnthly'!I:I)</f>
        <v/>
      </c>
      <c r="I43" s="698">
        <f>SUMIF('TB Mnthly'!$A:$A,'PnL Mnthly'!$A43,'TB Mnthly'!J:J)</f>
        <v/>
      </c>
      <c r="J43" s="698">
        <f>SUMIF('TB Mnthly'!$A:$A,'PnL Mnthly'!$A43,'TB Mnthly'!K:K)</f>
        <v/>
      </c>
      <c r="K43" s="698">
        <f>SUMIF('TB Mnthly'!$A:$A,'PnL Mnthly'!$A43,'TB Mnthly'!L:L)</f>
        <v/>
      </c>
      <c r="L43" s="698">
        <f>SUMIF('TB Mnthly'!$A:$A,'PnL Mnthly'!$A43,'TB Mnthly'!M:M)</f>
        <v/>
      </c>
      <c r="M43" s="698">
        <f>SUMIF('TB Mnthly'!$A:$A,'PnL Mnthly'!$A43,'TB Mnthly'!N:N)</f>
        <v/>
      </c>
      <c r="N43" s="698">
        <f>SUMIF('TB Mnthly'!$A:$A,'PnL Mnthly'!$A43,'TB Mnthly'!O:O)</f>
        <v/>
      </c>
      <c r="O43" s="699">
        <f>SUM(B43:N43)</f>
        <v/>
      </c>
      <c r="P43" s="700" t="n"/>
      <c r="Q43" s="698">
        <f>SUMIF('TB Mnthly'!$A:$A,'PnL Mnthly'!$A43,'TB Mnthly'!R:R)</f>
        <v/>
      </c>
      <c r="R43" s="698">
        <f>SUMIF('TB Mnthly'!$A:$A,'PnL Mnthly'!$A43,'TB Mnthly'!S:S)</f>
        <v/>
      </c>
      <c r="S43" s="698">
        <f>SUMIF('TB Mnthly'!$A:$A,'PnL Mnthly'!$A43,'TB Mnthly'!T:T)</f>
        <v/>
      </c>
      <c r="T43" s="698">
        <f>SUMIF('TB Mnthly'!$A:$A,'PnL Mnthly'!$A43,'TB Mnthly'!U:U)</f>
        <v/>
      </c>
      <c r="U43" s="698">
        <f>SUMIF('TB Mnthly'!$A:$A,'PnL Mnthly'!$A43,'TB Mnthly'!V:V)</f>
        <v/>
      </c>
      <c r="V43" s="698">
        <f>SUMIF('TB Mnthly'!$A:$A,'PnL Mnthly'!$A43,'TB Mnthly'!W:W)</f>
        <v/>
      </c>
      <c r="W43" s="698">
        <f>SUMIF('TB Mnthly'!$A:$A,'PnL Mnthly'!$A43,'TB Mnthly'!X:X)</f>
        <v/>
      </c>
      <c r="X43" s="698">
        <f>SUMIF('TB Mnthly'!$A:$A,'PnL Mnthly'!$A43,'TB Mnthly'!Y:Y)</f>
        <v/>
      </c>
      <c r="Y43" s="698">
        <f>SUMIF('TB Mnthly'!$A:$A,'PnL Mnthly'!$A43,'TB Mnthly'!Z:Z)</f>
        <v/>
      </c>
      <c r="Z43" s="698">
        <f>SUMIF('TB Mnthly'!$A:$A,'PnL Mnthly'!$A43,'TB Mnthly'!AA:AA)</f>
        <v/>
      </c>
      <c r="AA43" s="698">
        <f>SUMIF('TB Mnthly'!$A:$A,'PnL Mnthly'!$A43,'TB Mnthly'!AB:AB)</f>
        <v/>
      </c>
      <c r="AB43" s="698">
        <f>SUMIF('TB Mnthly'!$A:$A,'PnL Mnthly'!$A43,'TB Mnthly'!AC:AC)</f>
        <v/>
      </c>
      <c r="AC43" s="699">
        <f>SUM(P43:AB43)</f>
        <v/>
      </c>
      <c r="AD43" s="701" t="n"/>
      <c r="AE43" s="698">
        <f>SUMIF('TB Mnthly'!$A:$A,'PnL Mnthly'!$A43,'TB Mnthly'!AF:AF)</f>
        <v/>
      </c>
      <c r="AF43" s="698">
        <f>SUMIF('TB Mnthly'!$A:$A,'PnL Mnthly'!$A43,'TB Mnthly'!AG:AG)</f>
        <v/>
      </c>
      <c r="AG43" s="698">
        <f>SUMIF('TB Mnthly'!$A:$A,'PnL Mnthly'!$A43,'TB Mnthly'!AH:AH)</f>
        <v/>
      </c>
      <c r="AH43" s="698">
        <f>SUMIF('TB Mnthly'!$A:$A,'PnL Mnthly'!$A43,'TB Mnthly'!AI:AI)</f>
        <v/>
      </c>
      <c r="AI43" s="698">
        <f>SUMIF('TB Mnthly'!$A:$A,'PnL Mnthly'!$A43,'TB Mnthly'!AJ:AJ)</f>
        <v/>
      </c>
      <c r="AJ43" s="698">
        <f>SUMIF('TB Mnthly'!$A:$A,'PnL Mnthly'!$A43,'TB Mnthly'!AK:AK)</f>
        <v/>
      </c>
      <c r="AK43" s="698">
        <f>SUMIF('TB Mnthly'!$A:$A,'PnL Mnthly'!$A43,'TB Mnthly'!AL:AL)</f>
        <v/>
      </c>
      <c r="AL43" s="698">
        <f>SUMIF('TB Mnthly'!$A:$A,'PnL Mnthly'!$A43,'TB Mnthly'!AM:AM)</f>
        <v/>
      </c>
      <c r="AM43" s="698">
        <f>SUMIF('TB Mnthly'!$A:$A,'PnL Mnthly'!$A43,'TB Mnthly'!AN:AN)</f>
        <v/>
      </c>
      <c r="AN43" s="698">
        <f>SUMIF('TB Mnthly'!$A:$A,'PnL Mnthly'!$A43,'TB Mnthly'!AO:AO)</f>
        <v/>
      </c>
      <c r="AO43" s="698">
        <f>SUMIF('TB Mnthly'!$A:$A,'PnL Mnthly'!$A43,'TB Mnthly'!AP:AP)</f>
        <v/>
      </c>
      <c r="AP43" s="698">
        <f>SUMIF('TB Mnthly'!$A:$A,'PnL Mnthly'!$A43,'TB Mnthly'!AQ:AQ)</f>
        <v/>
      </c>
      <c r="AQ43" s="699">
        <f>SUM(AD43:AP43)</f>
        <v/>
      </c>
      <c r="AR43" s="699" t="n"/>
      <c r="AS43" s="698">
        <f>SUMIF('TB Mnthly'!$A:$A,'PnL Mnthly'!$A43,'TB Mnthly'!AT:AT)</f>
        <v/>
      </c>
      <c r="AT43" s="698">
        <f>SUMIF('TB Mnthly'!$A:$A,'PnL Mnthly'!$A43,'TB Mnthly'!AU:AU)</f>
        <v/>
      </c>
      <c r="AU43" s="698">
        <f>SUMIF('TB Mnthly'!$A:$A,'PnL Mnthly'!$A43,'TB Mnthly'!AV:AV)</f>
        <v/>
      </c>
      <c r="AV43" s="698">
        <f>SUMIF('TB Mnthly'!$A:$A,'PnL Mnthly'!$A43,'TB Mnthly'!AW:AW)</f>
        <v/>
      </c>
      <c r="AW43" s="698">
        <f>SUMIF('TB Mnthly'!$A:$A,'PnL Mnthly'!$A43,'TB Mnthly'!AX:AX)</f>
        <v/>
      </c>
      <c r="AX43" s="698">
        <f>SUMIF('TB Mnthly'!$A:$A,'PnL Mnthly'!$A43,'TB Mnthly'!AY:AY)</f>
        <v/>
      </c>
      <c r="AY43" s="698">
        <f>SUMIF('TB Mnthly'!$A:$A,'PnL Mnthly'!$A43,'TB Mnthly'!AZ:AZ)</f>
        <v/>
      </c>
      <c r="AZ43" s="698">
        <f>SUMIF('TB Mnthly'!$A:$A,'PnL Mnthly'!$A43,'TB Mnthly'!BA:BA)</f>
        <v/>
      </c>
      <c r="BA43" s="698">
        <f>SUMIF('TB Mnthly'!$A:$A,'PnL Mnthly'!$A43,'TB Mnthly'!BB:BB)</f>
        <v/>
      </c>
      <c r="BB43" s="698">
        <f>SUMIF('TB Mnthly'!$A:$A,'PnL Mnthly'!$A43,'TB Mnthly'!BC:BC)</f>
        <v/>
      </c>
      <c r="BC43" s="698">
        <f>SUMIF('TB Mnthly'!$A:$A,'PnL Mnthly'!$A43,'TB Mnthly'!BD:BD)</f>
        <v/>
      </c>
      <c r="BD43" s="698">
        <f>SUMIF('TB Mnthly'!$A:$A,'PnL Mnthly'!$A43,'TB Mnthly'!BE:BE)</f>
        <v/>
      </c>
      <c r="BE43" s="699">
        <f>SUM(AR43:BD43)</f>
        <v/>
      </c>
      <c r="BF43" s="699" t="n"/>
      <c r="BG43" s="698">
        <f>SUMIF('TB Mnthly'!$A:$A,'PnL Mnthly'!$A43,'TB Mnthly'!BH:BH)</f>
        <v/>
      </c>
      <c r="BH43" s="698">
        <f>SUMIF('TB Mnthly'!$A:$A,'PnL Mnthly'!$A43,'TB Mnthly'!BI:BI)</f>
        <v/>
      </c>
      <c r="BI43" s="698">
        <f>SUMIF('TB Mnthly'!$A:$A,'PnL Mnthly'!$A43,'TB Mnthly'!BJ:BJ)</f>
        <v/>
      </c>
      <c r="BJ43" s="698">
        <f>SUMIF('TB Mnthly'!$A:$A,'PnL Mnthly'!$A43,'TB Mnthly'!BK:BK)</f>
        <v/>
      </c>
      <c r="BK43" s="698">
        <f>SUMIF('TB Mnthly'!$A:$A,'PnL Mnthly'!$A43,'TB Mnthly'!BL:BL)</f>
        <v/>
      </c>
      <c r="BL43" s="698">
        <f>SUMIF('TB Mnthly'!$A:$A,'PnL Mnthly'!$A43,'TB Mnthly'!BM:BM)</f>
        <v/>
      </c>
      <c r="BM43" s="698">
        <f>SUMIF('TB Mnthly'!$A:$A,'PnL Mnthly'!$A43,'TB Mnthly'!BN:BN)</f>
        <v/>
      </c>
      <c r="BN43" s="698">
        <f>SUMIF('TB Mnthly'!$A:$A,'PnL Mnthly'!$A43,'TB Mnthly'!BO:BO)</f>
        <v/>
      </c>
      <c r="BO43" s="698">
        <f>SUMIF('TB Mnthly'!$A:$A,'PnL Mnthly'!$A43,'TB Mnthly'!BP:BP)</f>
        <v/>
      </c>
      <c r="BP43" s="698">
        <f>SUMIF('TB Mnthly'!$A:$A,'PnL Mnthly'!$A43,'TB Mnthly'!BQ:BQ)</f>
        <v/>
      </c>
      <c r="BQ43" s="698">
        <f>SUMIF('TB Mnthly'!$A:$A,'PnL Mnthly'!$A43,'TB Mnthly'!BR:BR)</f>
        <v/>
      </c>
      <c r="BR43" s="698">
        <f>SUMIF('TB Mnthly'!$A:$A,'PnL Mnthly'!$A43,'TB Mnthly'!BS:BS)</f>
        <v/>
      </c>
      <c r="BS43" s="699">
        <f>SUM(BF43:BR43)</f>
        <v/>
      </c>
    </row>
    <row r="44">
      <c r="A44" s="697" t="inlineStr">
        <is>
          <t>Depreciation</t>
        </is>
      </c>
      <c r="B44" s="698">
        <f>SUMIF('TB Mnthly'!$A:$A,'PnL Mnthly'!$A44,'TB Mnthly'!C:C)</f>
        <v/>
      </c>
      <c r="C44" s="698">
        <f>SUMIF('TB Mnthly'!$A:$A,'PnL Mnthly'!$A44,'TB Mnthly'!D:D)</f>
        <v/>
      </c>
      <c r="D44" s="698">
        <f>SUMIF('TB Mnthly'!$A:$A,'PnL Mnthly'!$A44,'TB Mnthly'!E:E)</f>
        <v/>
      </c>
      <c r="E44" s="698">
        <f>SUMIF('TB Mnthly'!$A:$A,'PnL Mnthly'!$A44,'TB Mnthly'!F:F)</f>
        <v/>
      </c>
      <c r="F44" s="698">
        <f>SUMIF('TB Mnthly'!$A:$A,'PnL Mnthly'!$A44,'TB Mnthly'!G:G)</f>
        <v/>
      </c>
      <c r="G44" s="698">
        <f>SUMIF('TB Mnthly'!$A:$A,'PnL Mnthly'!$A44,'TB Mnthly'!H:H)</f>
        <v/>
      </c>
      <c r="H44" s="698">
        <f>SUMIF('TB Mnthly'!$A:$A,'PnL Mnthly'!$A44,'TB Mnthly'!I:I)</f>
        <v/>
      </c>
      <c r="I44" s="698">
        <f>SUMIF('TB Mnthly'!$A:$A,'PnL Mnthly'!$A44,'TB Mnthly'!J:J)</f>
        <v/>
      </c>
      <c r="J44" s="698">
        <f>SUMIF('TB Mnthly'!$A:$A,'PnL Mnthly'!$A44,'TB Mnthly'!K:K)</f>
        <v/>
      </c>
      <c r="K44" s="698">
        <f>SUMIF('TB Mnthly'!$A:$A,'PnL Mnthly'!$A44,'TB Mnthly'!L:L)</f>
        <v/>
      </c>
      <c r="L44" s="698">
        <f>SUMIF('TB Mnthly'!$A:$A,'PnL Mnthly'!$A44,'TB Mnthly'!M:M)</f>
        <v/>
      </c>
      <c r="M44" s="698">
        <f>SUMIF('TB Mnthly'!$A:$A,'PnL Mnthly'!$A44,'TB Mnthly'!N:N)</f>
        <v/>
      </c>
      <c r="N44" s="698">
        <f>SUMIF('TB Mnthly'!$A:$A,'PnL Mnthly'!$A44,'TB Mnthly'!O:O)</f>
        <v/>
      </c>
      <c r="O44" s="699">
        <f>SUM(B44:N44)</f>
        <v/>
      </c>
      <c r="P44" s="700" t="n"/>
      <c r="Q44" s="698">
        <f>SUMIF('TB Mnthly'!$A:$A,'PnL Mnthly'!$A44,'TB Mnthly'!R:R)</f>
        <v/>
      </c>
      <c r="R44" s="698">
        <f>SUMIF('TB Mnthly'!$A:$A,'PnL Mnthly'!$A44,'TB Mnthly'!S:S)</f>
        <v/>
      </c>
      <c r="S44" s="698">
        <f>SUMIF('TB Mnthly'!$A:$A,'PnL Mnthly'!$A44,'TB Mnthly'!T:T)</f>
        <v/>
      </c>
      <c r="T44" s="698">
        <f>SUMIF('TB Mnthly'!$A:$A,'PnL Mnthly'!$A44,'TB Mnthly'!U:U)</f>
        <v/>
      </c>
      <c r="U44" s="698">
        <f>SUMIF('TB Mnthly'!$A:$A,'PnL Mnthly'!$A44,'TB Mnthly'!V:V)</f>
        <v/>
      </c>
      <c r="V44" s="698">
        <f>SUMIF('TB Mnthly'!$A:$A,'PnL Mnthly'!$A44,'TB Mnthly'!W:W)</f>
        <v/>
      </c>
      <c r="W44" s="698">
        <f>SUMIF('TB Mnthly'!$A:$A,'PnL Mnthly'!$A44,'TB Mnthly'!X:X)</f>
        <v/>
      </c>
      <c r="X44" s="698">
        <f>SUMIF('TB Mnthly'!$A:$A,'PnL Mnthly'!$A44,'TB Mnthly'!Y:Y)</f>
        <v/>
      </c>
      <c r="Y44" s="698">
        <f>SUMIF('TB Mnthly'!$A:$A,'PnL Mnthly'!$A44,'TB Mnthly'!Z:Z)</f>
        <v/>
      </c>
      <c r="Z44" s="698">
        <f>SUMIF('TB Mnthly'!$A:$A,'PnL Mnthly'!$A44,'TB Mnthly'!AA:AA)</f>
        <v/>
      </c>
      <c r="AA44" s="698">
        <f>SUMIF('TB Mnthly'!$A:$A,'PnL Mnthly'!$A44,'TB Mnthly'!AB:AB)</f>
        <v/>
      </c>
      <c r="AB44" s="698">
        <f>SUMIF('TB Mnthly'!$A:$A,'PnL Mnthly'!$A44,'TB Mnthly'!AC:AC)</f>
        <v/>
      </c>
      <c r="AC44" s="699">
        <f>SUM(P44:AB44)</f>
        <v/>
      </c>
      <c r="AD44" s="701" t="n"/>
      <c r="AE44" s="698">
        <f>SUMIF('TB Mnthly'!$A:$A,'PnL Mnthly'!$A44,'TB Mnthly'!AF:AF)</f>
        <v/>
      </c>
      <c r="AF44" s="698">
        <f>SUMIF('TB Mnthly'!$A:$A,'PnL Mnthly'!$A44,'TB Mnthly'!AG:AG)</f>
        <v/>
      </c>
      <c r="AG44" s="698">
        <f>SUMIF('TB Mnthly'!$A:$A,'PnL Mnthly'!$A44,'TB Mnthly'!AH:AH)</f>
        <v/>
      </c>
      <c r="AH44" s="698">
        <f>SUMIF('TB Mnthly'!$A:$A,'PnL Mnthly'!$A44,'TB Mnthly'!AI:AI)</f>
        <v/>
      </c>
      <c r="AI44" s="698">
        <f>SUMIF('TB Mnthly'!$A:$A,'PnL Mnthly'!$A44,'TB Mnthly'!AJ:AJ)</f>
        <v/>
      </c>
      <c r="AJ44" s="698">
        <f>SUMIF('TB Mnthly'!$A:$A,'PnL Mnthly'!$A44,'TB Mnthly'!AK:AK)</f>
        <v/>
      </c>
      <c r="AK44" s="698">
        <f>SUMIF('TB Mnthly'!$A:$A,'PnL Mnthly'!$A44,'TB Mnthly'!AL:AL)</f>
        <v/>
      </c>
      <c r="AL44" s="698">
        <f>SUMIF('TB Mnthly'!$A:$A,'PnL Mnthly'!$A44,'TB Mnthly'!AM:AM)</f>
        <v/>
      </c>
      <c r="AM44" s="698">
        <f>SUMIF('TB Mnthly'!$A:$A,'PnL Mnthly'!$A44,'TB Mnthly'!AN:AN)</f>
        <v/>
      </c>
      <c r="AN44" s="698">
        <f>SUMIF('TB Mnthly'!$A:$A,'PnL Mnthly'!$A44,'TB Mnthly'!AO:AO)</f>
        <v/>
      </c>
      <c r="AO44" s="698">
        <f>SUMIF('TB Mnthly'!$A:$A,'PnL Mnthly'!$A44,'TB Mnthly'!AP:AP)</f>
        <v/>
      </c>
      <c r="AP44" s="698">
        <f>SUMIF('TB Mnthly'!$A:$A,'PnL Mnthly'!$A44,'TB Mnthly'!AQ:AQ)</f>
        <v/>
      </c>
      <c r="AQ44" s="699">
        <f>SUM(AD44:AP44)</f>
        <v/>
      </c>
      <c r="AR44" s="699" t="n"/>
      <c r="AS44" s="698">
        <f>SUMIF('TB Mnthly'!$A:$A,'PnL Mnthly'!$A44,'TB Mnthly'!AT:AT)</f>
        <v/>
      </c>
      <c r="AT44" s="698">
        <f>SUMIF('TB Mnthly'!$A:$A,'PnL Mnthly'!$A44,'TB Mnthly'!AU:AU)</f>
        <v/>
      </c>
      <c r="AU44" s="698">
        <f>SUMIF('TB Mnthly'!$A:$A,'PnL Mnthly'!$A44,'TB Mnthly'!AV:AV)</f>
        <v/>
      </c>
      <c r="AV44" s="698">
        <f>SUMIF('TB Mnthly'!$A:$A,'PnL Mnthly'!$A44,'TB Mnthly'!AW:AW)</f>
        <v/>
      </c>
      <c r="AW44" s="698">
        <f>SUMIF('TB Mnthly'!$A:$A,'PnL Mnthly'!$A44,'TB Mnthly'!AX:AX)</f>
        <v/>
      </c>
      <c r="AX44" s="698">
        <f>SUMIF('TB Mnthly'!$A:$A,'PnL Mnthly'!$A44,'TB Mnthly'!AY:AY)</f>
        <v/>
      </c>
      <c r="AY44" s="698">
        <f>SUMIF('TB Mnthly'!$A:$A,'PnL Mnthly'!$A44,'TB Mnthly'!AZ:AZ)</f>
        <v/>
      </c>
      <c r="AZ44" s="698">
        <f>SUMIF('TB Mnthly'!$A:$A,'PnL Mnthly'!$A44,'TB Mnthly'!BA:BA)</f>
        <v/>
      </c>
      <c r="BA44" s="698">
        <f>SUMIF('TB Mnthly'!$A:$A,'PnL Mnthly'!$A44,'TB Mnthly'!BB:BB)</f>
        <v/>
      </c>
      <c r="BB44" s="698">
        <f>SUMIF('TB Mnthly'!$A:$A,'PnL Mnthly'!$A44,'TB Mnthly'!BC:BC)</f>
        <v/>
      </c>
      <c r="BC44" s="698">
        <f>SUMIF('TB Mnthly'!$A:$A,'PnL Mnthly'!$A44,'TB Mnthly'!BD:BD)</f>
        <v/>
      </c>
      <c r="BD44" s="698">
        <f>SUMIF('TB Mnthly'!$A:$A,'PnL Mnthly'!$A44,'TB Mnthly'!BE:BE)</f>
        <v/>
      </c>
      <c r="BE44" s="699">
        <f>SUM(AR44:BD44)</f>
        <v/>
      </c>
      <c r="BF44" s="699" t="n"/>
      <c r="BG44" s="698">
        <f>SUMIF('TB Mnthly'!$A:$A,'PnL Mnthly'!$A44,'TB Mnthly'!BH:BH)</f>
        <v/>
      </c>
      <c r="BH44" s="698">
        <f>SUMIF('TB Mnthly'!$A:$A,'PnL Mnthly'!$A44,'TB Mnthly'!BI:BI)</f>
        <v/>
      </c>
      <c r="BI44" s="698">
        <f>SUMIF('TB Mnthly'!$A:$A,'PnL Mnthly'!$A44,'TB Mnthly'!BJ:BJ)</f>
        <v/>
      </c>
      <c r="BJ44" s="698">
        <f>SUMIF('TB Mnthly'!$A:$A,'PnL Mnthly'!$A44,'TB Mnthly'!BK:BK)</f>
        <v/>
      </c>
      <c r="BK44" s="698">
        <f>SUMIF('TB Mnthly'!$A:$A,'PnL Mnthly'!$A44,'TB Mnthly'!BL:BL)</f>
        <v/>
      </c>
      <c r="BL44" s="698">
        <f>SUMIF('TB Mnthly'!$A:$A,'PnL Mnthly'!$A44,'TB Mnthly'!BM:BM)</f>
        <v/>
      </c>
      <c r="BM44" s="698">
        <f>SUMIF('TB Mnthly'!$A:$A,'PnL Mnthly'!$A44,'TB Mnthly'!BN:BN)</f>
        <v/>
      </c>
      <c r="BN44" s="698">
        <f>SUMIF('TB Mnthly'!$A:$A,'PnL Mnthly'!$A44,'TB Mnthly'!BO:BO)</f>
        <v/>
      </c>
      <c r="BO44" s="698">
        <f>SUMIF('TB Mnthly'!$A:$A,'PnL Mnthly'!$A44,'TB Mnthly'!BP:BP)</f>
        <v/>
      </c>
      <c r="BP44" s="698">
        <f>SUMIF('TB Mnthly'!$A:$A,'PnL Mnthly'!$A44,'TB Mnthly'!BQ:BQ)</f>
        <v/>
      </c>
      <c r="BQ44" s="698">
        <f>SUMIF('TB Mnthly'!$A:$A,'PnL Mnthly'!$A44,'TB Mnthly'!BR:BR)</f>
        <v/>
      </c>
      <c r="BR44" s="698">
        <f>SUMIF('TB Mnthly'!$A:$A,'PnL Mnthly'!$A44,'TB Mnthly'!BS:BS)</f>
        <v/>
      </c>
      <c r="BS44" s="699">
        <f>SUM(BF44:BR44)</f>
        <v/>
      </c>
    </row>
    <row r="45">
      <c r="A45" s="697" t="inlineStr">
        <is>
          <t>Loan Interest</t>
        </is>
      </c>
      <c r="B45" s="698">
        <f>SUMIF('TB Mnthly'!$A:$A,'PnL Mnthly'!$A45,'TB Mnthly'!C:C)</f>
        <v/>
      </c>
      <c r="C45" s="698">
        <f>SUMIF('TB Mnthly'!$A:$A,'PnL Mnthly'!$A45,'TB Mnthly'!D:D)</f>
        <v/>
      </c>
      <c r="D45" s="698">
        <f>SUMIF('TB Mnthly'!$A:$A,'PnL Mnthly'!$A45,'TB Mnthly'!E:E)</f>
        <v/>
      </c>
      <c r="E45" s="698">
        <f>SUMIF('TB Mnthly'!$A:$A,'PnL Mnthly'!$A45,'TB Mnthly'!F:F)</f>
        <v/>
      </c>
      <c r="F45" s="698">
        <f>SUMIF('TB Mnthly'!$A:$A,'PnL Mnthly'!$A45,'TB Mnthly'!G:G)</f>
        <v/>
      </c>
      <c r="G45" s="698">
        <f>SUMIF('TB Mnthly'!$A:$A,'PnL Mnthly'!$A45,'TB Mnthly'!H:H)</f>
        <v/>
      </c>
      <c r="H45" s="698">
        <f>SUMIF('TB Mnthly'!$A:$A,'PnL Mnthly'!$A45,'TB Mnthly'!I:I)</f>
        <v/>
      </c>
      <c r="I45" s="698">
        <f>SUMIF('TB Mnthly'!$A:$A,'PnL Mnthly'!$A45,'TB Mnthly'!J:J)</f>
        <v/>
      </c>
      <c r="J45" s="698">
        <f>SUMIF('TB Mnthly'!$A:$A,'PnL Mnthly'!$A45,'TB Mnthly'!K:K)</f>
        <v/>
      </c>
      <c r="K45" s="698">
        <f>SUMIF('TB Mnthly'!$A:$A,'PnL Mnthly'!$A45,'TB Mnthly'!L:L)</f>
        <v/>
      </c>
      <c r="L45" s="698">
        <f>SUMIF('TB Mnthly'!$A:$A,'PnL Mnthly'!$A45,'TB Mnthly'!M:M)</f>
        <v/>
      </c>
      <c r="M45" s="698">
        <f>SUMIF('TB Mnthly'!$A:$A,'PnL Mnthly'!$A45,'TB Mnthly'!N:N)</f>
        <v/>
      </c>
      <c r="N45" s="698">
        <f>SUMIF('TB Mnthly'!$A:$A,'PnL Mnthly'!$A45,'TB Mnthly'!O:O)</f>
        <v/>
      </c>
      <c r="O45" s="699">
        <f>SUM(B45:N45)</f>
        <v/>
      </c>
      <c r="P45" s="700" t="n"/>
      <c r="Q45" s="698">
        <f>SUMIF('TB Mnthly'!$A:$A,'PnL Mnthly'!$A45,'TB Mnthly'!R:R)</f>
        <v/>
      </c>
      <c r="R45" s="698">
        <f>SUMIF('TB Mnthly'!$A:$A,'PnL Mnthly'!$A45,'TB Mnthly'!S:S)</f>
        <v/>
      </c>
      <c r="S45" s="698">
        <f>SUMIF('TB Mnthly'!$A:$A,'PnL Mnthly'!$A45,'TB Mnthly'!T:T)</f>
        <v/>
      </c>
      <c r="T45" s="698">
        <f>SUMIF('TB Mnthly'!$A:$A,'PnL Mnthly'!$A45,'TB Mnthly'!U:U)</f>
        <v/>
      </c>
      <c r="U45" s="698">
        <f>SUMIF('TB Mnthly'!$A:$A,'PnL Mnthly'!$A45,'TB Mnthly'!V:V)</f>
        <v/>
      </c>
      <c r="V45" s="698">
        <f>SUMIF('TB Mnthly'!$A:$A,'PnL Mnthly'!$A45,'TB Mnthly'!W:W)</f>
        <v/>
      </c>
      <c r="W45" s="698">
        <f>SUMIF('TB Mnthly'!$A:$A,'PnL Mnthly'!$A45,'TB Mnthly'!X:X)</f>
        <v/>
      </c>
      <c r="X45" s="698">
        <f>SUMIF('TB Mnthly'!$A:$A,'PnL Mnthly'!$A45,'TB Mnthly'!Y:Y)</f>
        <v/>
      </c>
      <c r="Y45" s="698">
        <f>SUMIF('TB Mnthly'!$A:$A,'PnL Mnthly'!$A45,'TB Mnthly'!Z:Z)</f>
        <v/>
      </c>
      <c r="Z45" s="698">
        <f>SUMIF('TB Mnthly'!$A:$A,'PnL Mnthly'!$A45,'TB Mnthly'!AA:AA)</f>
        <v/>
      </c>
      <c r="AA45" s="698">
        <f>SUMIF('TB Mnthly'!$A:$A,'PnL Mnthly'!$A45,'TB Mnthly'!AB:AB)</f>
        <v/>
      </c>
      <c r="AB45" s="698">
        <f>SUMIF('TB Mnthly'!$A:$A,'PnL Mnthly'!$A45,'TB Mnthly'!AC:AC)</f>
        <v/>
      </c>
      <c r="AC45" s="699">
        <f>SUM(P45:AB45)</f>
        <v/>
      </c>
      <c r="AD45" s="701" t="n"/>
      <c r="AE45" s="698">
        <f>SUMIF('TB Mnthly'!$A:$A,'PnL Mnthly'!$A45,'TB Mnthly'!AF:AF)</f>
        <v/>
      </c>
      <c r="AF45" s="698">
        <f>SUMIF('TB Mnthly'!$A:$A,'PnL Mnthly'!$A45,'TB Mnthly'!AG:AG)</f>
        <v/>
      </c>
      <c r="AG45" s="698">
        <f>SUMIF('TB Mnthly'!$A:$A,'PnL Mnthly'!$A45,'TB Mnthly'!AH:AH)</f>
        <v/>
      </c>
      <c r="AH45" s="698">
        <f>SUMIF('TB Mnthly'!$A:$A,'PnL Mnthly'!$A45,'TB Mnthly'!AI:AI)</f>
        <v/>
      </c>
      <c r="AI45" s="698">
        <f>SUMIF('TB Mnthly'!$A:$A,'PnL Mnthly'!$A45,'TB Mnthly'!AJ:AJ)</f>
        <v/>
      </c>
      <c r="AJ45" s="698">
        <f>SUMIF('TB Mnthly'!$A:$A,'PnL Mnthly'!$A45,'TB Mnthly'!AK:AK)</f>
        <v/>
      </c>
      <c r="AK45" s="698">
        <f>SUMIF('TB Mnthly'!$A:$A,'PnL Mnthly'!$A45,'TB Mnthly'!AL:AL)</f>
        <v/>
      </c>
      <c r="AL45" s="698">
        <f>SUMIF('TB Mnthly'!$A:$A,'PnL Mnthly'!$A45,'TB Mnthly'!AM:AM)</f>
        <v/>
      </c>
      <c r="AM45" s="698">
        <f>SUMIF('TB Mnthly'!$A:$A,'PnL Mnthly'!$A45,'TB Mnthly'!AN:AN)</f>
        <v/>
      </c>
      <c r="AN45" s="698">
        <f>SUMIF('TB Mnthly'!$A:$A,'PnL Mnthly'!$A45,'TB Mnthly'!AO:AO)</f>
        <v/>
      </c>
      <c r="AO45" s="698">
        <f>SUMIF('TB Mnthly'!$A:$A,'PnL Mnthly'!$A45,'TB Mnthly'!AP:AP)</f>
        <v/>
      </c>
      <c r="AP45" s="698">
        <f>SUMIF('TB Mnthly'!$A:$A,'PnL Mnthly'!$A45,'TB Mnthly'!AQ:AQ)</f>
        <v/>
      </c>
      <c r="AQ45" s="699">
        <f>SUM(AD45:AP45)</f>
        <v/>
      </c>
      <c r="AR45" s="699" t="n"/>
      <c r="AS45" s="698">
        <f>SUM(AE45:AQ45)</f>
        <v/>
      </c>
      <c r="AT45" s="698">
        <f>SUM(AF45:AS45)</f>
        <v/>
      </c>
      <c r="AU45" s="698">
        <f>SUM(AG45:AT45)</f>
        <v/>
      </c>
      <c r="AV45" s="698">
        <f>SUM(AH45:AU45)</f>
        <v/>
      </c>
      <c r="AW45" s="698">
        <f>SUM(AI45:AV45)</f>
        <v/>
      </c>
      <c r="AX45" s="698">
        <f>SUM(AJ45:AW45)</f>
        <v/>
      </c>
      <c r="AY45" s="698">
        <f>SUM(AK45:AX45)</f>
        <v/>
      </c>
      <c r="AZ45" s="698">
        <f>SUM(AL45:AY45)</f>
        <v/>
      </c>
      <c r="BA45" s="698">
        <f>SUM(AM45:AZ45)</f>
        <v/>
      </c>
      <c r="BB45" s="698">
        <f>SUM(AN45:BA45)</f>
        <v/>
      </c>
      <c r="BC45" s="698">
        <f>SUM(AO45:BB45)</f>
        <v/>
      </c>
      <c r="BD45" s="698">
        <f>SUM(AP45:BC45)</f>
        <v/>
      </c>
      <c r="BE45" s="699">
        <f>SUM(AR45:BD45)</f>
        <v/>
      </c>
      <c r="BF45" s="699" t="n"/>
      <c r="BG45" s="698">
        <f>SUM(AS45:BE45)</f>
        <v/>
      </c>
      <c r="BH45" s="698">
        <f>SUM(AT45:BG45)</f>
        <v/>
      </c>
      <c r="BI45" s="698">
        <f>SUM(AU45:BH45)</f>
        <v/>
      </c>
      <c r="BJ45" s="698">
        <f>SUM(AV45:BI45)</f>
        <v/>
      </c>
      <c r="BK45" s="698">
        <f>SUM(AW45:BJ45)</f>
        <v/>
      </c>
      <c r="BL45" s="698">
        <f>SUM(AX45:BK45)</f>
        <v/>
      </c>
      <c r="BM45" s="698">
        <f>SUM(AY45:BL45)</f>
        <v/>
      </c>
      <c r="BN45" s="698">
        <f>SUM(AZ45:BM45)</f>
        <v/>
      </c>
      <c r="BO45" s="698">
        <f>SUM(BA45:BN45)</f>
        <v/>
      </c>
      <c r="BP45" s="698">
        <f>SUM(BB45:BO45)</f>
        <v/>
      </c>
      <c r="BQ45" s="698">
        <f>SUM(BC45:BP45)</f>
        <v/>
      </c>
      <c r="BR45" s="698">
        <f>SUM(BD45:BQ45)</f>
        <v/>
      </c>
      <c r="BS45" s="699">
        <f>SUM(BF45:BR45)</f>
        <v/>
      </c>
    </row>
    <row r="46">
      <c r="B46" s="698" t="n"/>
      <c r="C46" s="698" t="n"/>
      <c r="D46" s="693" t="n"/>
      <c r="E46" s="693" t="n"/>
      <c r="F46" s="693" t="n"/>
      <c r="G46" s="693" t="n"/>
      <c r="H46" s="693" t="n"/>
      <c r="I46" s="693" t="n"/>
      <c r="J46" s="693" t="n"/>
      <c r="K46" s="693" t="n"/>
      <c r="L46" s="693" t="n"/>
      <c r="M46" s="693" t="n"/>
      <c r="N46" s="693" t="n"/>
      <c r="O46" s="702" t="n"/>
      <c r="P46" s="700" t="n"/>
      <c r="Q46" s="700" t="n"/>
      <c r="R46" s="700" t="n"/>
      <c r="S46" s="700" t="n"/>
      <c r="T46" s="700" t="n"/>
      <c r="U46" s="700" t="n"/>
      <c r="V46" s="700" t="n"/>
      <c r="W46" s="700" t="n"/>
      <c r="X46" s="700" t="n"/>
      <c r="Y46" s="700" t="n"/>
      <c r="Z46" s="700" t="n"/>
      <c r="AA46" s="700" t="n"/>
      <c r="AB46" s="700" t="n"/>
      <c r="AC46" s="703" t="n"/>
      <c r="AD46" s="701" t="n"/>
      <c r="AE46" s="700" t="n"/>
      <c r="AF46" s="700" t="n"/>
      <c r="AG46" s="700" t="n"/>
      <c r="AH46" s="700" t="n"/>
      <c r="AI46" s="700" t="n"/>
      <c r="AJ46" s="700" t="n"/>
      <c r="AK46" s="700" t="n"/>
      <c r="AL46" s="700" t="n"/>
      <c r="AM46" s="700" t="n"/>
      <c r="AN46" s="700" t="n"/>
      <c r="AO46" s="700" t="n"/>
      <c r="AP46" s="700" t="n"/>
      <c r="AQ46" s="703" t="n"/>
      <c r="AR46" s="703" t="n"/>
      <c r="AS46" s="700" t="n"/>
      <c r="AT46" s="700" t="n"/>
      <c r="AU46" s="700" t="n"/>
      <c r="AV46" s="700" t="n"/>
      <c r="AW46" s="700" t="n"/>
      <c r="AX46" s="700" t="n"/>
      <c r="AY46" s="700" t="n"/>
      <c r="AZ46" s="700" t="n"/>
      <c r="BA46" s="700" t="n"/>
      <c r="BB46" s="700" t="n"/>
      <c r="BC46" s="700" t="n"/>
      <c r="BD46" s="700" t="n"/>
      <c r="BE46" s="703" t="n"/>
      <c r="BF46" s="703" t="n"/>
      <c r="BG46" s="700" t="n"/>
      <c r="BH46" s="700" t="n"/>
      <c r="BI46" s="700" t="n"/>
      <c r="BJ46" s="700" t="n"/>
      <c r="BK46" s="700" t="n"/>
      <c r="BL46" s="700" t="n"/>
      <c r="BM46" s="700" t="n"/>
      <c r="BN46" s="700" t="n"/>
      <c r="BO46" s="700" t="n"/>
      <c r="BP46" s="700" t="n"/>
      <c r="BQ46" s="700" t="n"/>
      <c r="BR46" s="700" t="n"/>
      <c r="BS46" s="703" t="n"/>
    </row>
    <row r="47">
      <c r="A47" s="696" t="inlineStr">
        <is>
          <t>Total Expenses</t>
        </is>
      </c>
      <c r="B47" s="704">
        <f>SUM(B31:B46)</f>
        <v/>
      </c>
      <c r="C47" s="704">
        <f>SUM(C31:C46)</f>
        <v/>
      </c>
      <c r="D47" s="704">
        <f>SUM(D31:D46)</f>
        <v/>
      </c>
      <c r="E47" s="704">
        <f>SUM(E31:E46)</f>
        <v/>
      </c>
      <c r="F47" s="704">
        <f>SUM(F31:F46)</f>
        <v/>
      </c>
      <c r="G47" s="704">
        <f>SUM(G31:G46)</f>
        <v/>
      </c>
      <c r="H47" s="704">
        <f>SUM(H31:H46)</f>
        <v/>
      </c>
      <c r="I47" s="704">
        <f>SUM(I31:I46)</f>
        <v/>
      </c>
      <c r="J47" s="704">
        <f>SUM(J31:J46)</f>
        <v/>
      </c>
      <c r="K47" s="704">
        <f>SUM(K31:K46)</f>
        <v/>
      </c>
      <c r="L47" s="704">
        <f>SUM(L31:L46)</f>
        <v/>
      </c>
      <c r="M47" s="704">
        <f>SUM(M31:M46)</f>
        <v/>
      </c>
      <c r="N47" s="704">
        <f>SUM(N31:N46)</f>
        <v/>
      </c>
      <c r="O47" s="704">
        <f>SUM(O31:O46)</f>
        <v/>
      </c>
      <c r="P47" s="700" t="n"/>
      <c r="Q47" s="704">
        <f>SUM(Q31:Q45)</f>
        <v/>
      </c>
      <c r="R47" s="704">
        <f>SUM(R31:R45)</f>
        <v/>
      </c>
      <c r="S47" s="704">
        <f>SUM(S31:S45)</f>
        <v/>
      </c>
      <c r="T47" s="704">
        <f>SUM(T31:T45)</f>
        <v/>
      </c>
      <c r="U47" s="704">
        <f>SUM(U31:U45)</f>
        <v/>
      </c>
      <c r="V47" s="704">
        <f>SUM(V31:V45)</f>
        <v/>
      </c>
      <c r="W47" s="704">
        <f>SUM(W31:W45)</f>
        <v/>
      </c>
      <c r="X47" s="704">
        <f>SUM(X31:X45)</f>
        <v/>
      </c>
      <c r="Y47" s="704">
        <f>SUM(Y31:Y45)</f>
        <v/>
      </c>
      <c r="Z47" s="704">
        <f>SUM(Z31:Z45)</f>
        <v/>
      </c>
      <c r="AA47" s="704">
        <f>SUM(AA31:AA45)</f>
        <v/>
      </c>
      <c r="AB47" s="704">
        <f>SUM(AB31:AB45)</f>
        <v/>
      </c>
      <c r="AC47" s="704">
        <f>SUM(AC31:AC45)</f>
        <v/>
      </c>
      <c r="AD47" s="701" t="n"/>
      <c r="AE47" s="704">
        <f>SUM(AE31:AE46)</f>
        <v/>
      </c>
      <c r="AF47" s="704">
        <f>SUM(AF31:AF46)</f>
        <v/>
      </c>
      <c r="AG47" s="704">
        <f>SUM(AG31:AG46)</f>
        <v/>
      </c>
      <c r="AH47" s="704">
        <f>SUM(AH31:AH46)</f>
        <v/>
      </c>
      <c r="AI47" s="704">
        <f>SUM(AI31:AI46)</f>
        <v/>
      </c>
      <c r="AJ47" s="704">
        <f>SUM(AJ31:AJ46)</f>
        <v/>
      </c>
      <c r="AK47" s="704">
        <f>SUM(AK31:AK46)</f>
        <v/>
      </c>
      <c r="AL47" s="704">
        <f>SUM(AL31:AL46)</f>
        <v/>
      </c>
      <c r="AM47" s="704">
        <f>SUM(AM31:AM46)</f>
        <v/>
      </c>
      <c r="AN47" s="704">
        <f>SUM(AN31:AN46)</f>
        <v/>
      </c>
      <c r="AO47" s="704">
        <f>SUM(AO31:AO46)</f>
        <v/>
      </c>
      <c r="AP47" s="704">
        <f>SUM(AP31:AP46)</f>
        <v/>
      </c>
      <c r="AQ47" s="704">
        <f>SUM(AQ31:AQ46)</f>
        <v/>
      </c>
      <c r="AR47" s="704" t="n"/>
      <c r="AS47" s="704">
        <f>SUM(AS31:AS46)</f>
        <v/>
      </c>
      <c r="AT47" s="704">
        <f>SUM(AT31:AT46)</f>
        <v/>
      </c>
      <c r="AU47" s="704">
        <f>SUM(AU31:AU46)</f>
        <v/>
      </c>
      <c r="AV47" s="704">
        <f>SUM(AV31:AV46)</f>
        <v/>
      </c>
      <c r="AW47" s="704">
        <f>SUM(AW31:AW46)</f>
        <v/>
      </c>
      <c r="AX47" s="704">
        <f>SUM(AX31:AX46)</f>
        <v/>
      </c>
      <c r="AY47" s="704">
        <f>SUM(AY31:AY46)</f>
        <v/>
      </c>
      <c r="AZ47" s="704">
        <f>SUM(AZ31:AZ46)</f>
        <v/>
      </c>
      <c r="BA47" s="704">
        <f>SUM(BA31:BA46)</f>
        <v/>
      </c>
      <c r="BB47" s="704">
        <f>SUM(BB31:BB46)</f>
        <v/>
      </c>
      <c r="BC47" s="704">
        <f>SUM(BC31:BC46)</f>
        <v/>
      </c>
      <c r="BD47" s="704">
        <f>SUM(BD31:BD46)</f>
        <v/>
      </c>
      <c r="BE47" s="704">
        <f>SUM(BE31:BE46)</f>
        <v/>
      </c>
      <c r="BF47" s="704" t="n"/>
      <c r="BG47" s="704">
        <f>SUM(BG31:BG46)</f>
        <v/>
      </c>
      <c r="BH47" s="704">
        <f>SUM(BH31:BH46)</f>
        <v/>
      </c>
      <c r="BI47" s="704">
        <f>SUM(BI31:BI46)</f>
        <v/>
      </c>
      <c r="BJ47" s="704">
        <f>SUM(BJ31:BJ46)</f>
        <v/>
      </c>
      <c r="BK47" s="704">
        <f>SUM(BK31:BK46)</f>
        <v/>
      </c>
      <c r="BL47" s="704">
        <f>SUM(BL31:BL46)</f>
        <v/>
      </c>
      <c r="BM47" s="704">
        <f>SUM(BM31:BM46)</f>
        <v/>
      </c>
      <c r="BN47" s="704">
        <f>SUM(BN31:BN46)</f>
        <v/>
      </c>
      <c r="BO47" s="704">
        <f>SUM(BO31:BO46)</f>
        <v/>
      </c>
      <c r="BP47" s="704">
        <f>SUM(BP31:BP46)</f>
        <v/>
      </c>
      <c r="BQ47" s="704">
        <f>SUM(BQ31:BQ46)</f>
        <v/>
      </c>
      <c r="BR47" s="704">
        <f>SUM(BR31:BR46)</f>
        <v/>
      </c>
      <c r="BS47" s="704">
        <f>SUM(BS31:BS46)</f>
        <v/>
      </c>
    </row>
    <row r="48">
      <c r="B48" s="698" t="n"/>
      <c r="C48" s="698" t="n"/>
      <c r="D48" s="698" t="n"/>
      <c r="E48" s="698" t="n"/>
      <c r="F48" s="698" t="n"/>
      <c r="G48" s="698" t="n"/>
      <c r="H48" s="698" t="n"/>
      <c r="I48" s="698" t="n"/>
      <c r="J48" s="698" t="n"/>
      <c r="K48" s="698" t="n"/>
      <c r="L48" s="698" t="n"/>
      <c r="M48" s="698" t="n"/>
      <c r="N48" s="698" t="n"/>
      <c r="O48" s="699" t="n"/>
      <c r="P48" s="700" t="n"/>
      <c r="Q48" s="698" t="n"/>
      <c r="R48" s="698" t="n"/>
      <c r="S48" s="698" t="n"/>
      <c r="T48" s="698" t="n"/>
      <c r="U48" s="698" t="n"/>
      <c r="V48" s="698" t="n"/>
      <c r="W48" s="698" t="n"/>
      <c r="X48" s="698" t="n"/>
      <c r="Y48" s="698" t="n"/>
      <c r="Z48" s="698" t="n"/>
      <c r="AA48" s="698" t="n"/>
      <c r="AB48" s="698" t="n"/>
      <c r="AC48" s="699" t="n"/>
      <c r="AD48" s="701" t="n"/>
      <c r="AE48" s="698" t="n"/>
      <c r="AF48" s="698" t="n"/>
      <c r="AG48" s="698" t="n"/>
      <c r="AH48" s="698" t="n"/>
      <c r="AI48" s="698" t="n"/>
      <c r="AJ48" s="698" t="n"/>
      <c r="AK48" s="698" t="n"/>
      <c r="AL48" s="698" t="n"/>
      <c r="AM48" s="698" t="n"/>
      <c r="AN48" s="698" t="n"/>
      <c r="AO48" s="698" t="n"/>
      <c r="AP48" s="698" t="n"/>
      <c r="AQ48" s="699" t="n"/>
      <c r="AR48" s="699" t="n"/>
      <c r="AS48" s="698" t="n"/>
      <c r="AT48" s="698" t="n"/>
      <c r="AU48" s="698" t="n"/>
      <c r="AV48" s="698" t="n"/>
      <c r="AW48" s="698" t="n"/>
      <c r="AX48" s="698" t="n"/>
      <c r="AY48" s="698" t="n"/>
      <c r="AZ48" s="698" t="n"/>
      <c r="BA48" s="698" t="n"/>
      <c r="BB48" s="698" t="n"/>
      <c r="BC48" s="698" t="n"/>
      <c r="BD48" s="698" t="n"/>
      <c r="BE48" s="699" t="n"/>
      <c r="BF48" s="699" t="n"/>
      <c r="BG48" s="698" t="n"/>
      <c r="BH48" s="698" t="n"/>
      <c r="BI48" s="698" t="n"/>
      <c r="BJ48" s="698" t="n"/>
      <c r="BK48" s="698" t="n"/>
      <c r="BL48" s="698" t="n"/>
      <c r="BM48" s="698" t="n"/>
      <c r="BN48" s="698" t="n"/>
      <c r="BO48" s="698" t="n"/>
      <c r="BP48" s="698" t="n"/>
      <c r="BQ48" s="698" t="n"/>
      <c r="BR48" s="698" t="n"/>
      <c r="BS48" s="699" t="n"/>
    </row>
    <row r="49" ht="13.5" customHeight="1" thickBot="1">
      <c r="A49" s="696" t="inlineStr">
        <is>
          <t>Profit</t>
        </is>
      </c>
      <c r="B49" s="706">
        <f>B29-B47</f>
        <v/>
      </c>
      <c r="C49" s="706">
        <f>C29-C47</f>
        <v/>
      </c>
      <c r="D49" s="706">
        <f>D29-D47</f>
        <v/>
      </c>
      <c r="E49" s="706">
        <f>E29-E47</f>
        <v/>
      </c>
      <c r="F49" s="706">
        <f>F29-F47</f>
        <v/>
      </c>
      <c r="G49" s="706">
        <f>G29-G47</f>
        <v/>
      </c>
      <c r="H49" s="706">
        <f>H29-H47</f>
        <v/>
      </c>
      <c r="I49" s="706">
        <f>I29-I47</f>
        <v/>
      </c>
      <c r="J49" s="706">
        <f>J29-J47</f>
        <v/>
      </c>
      <c r="K49" s="706">
        <f>K29-K47</f>
        <v/>
      </c>
      <c r="L49" s="706">
        <f>L29-L47</f>
        <v/>
      </c>
      <c r="M49" s="706">
        <f>M29-M47</f>
        <v/>
      </c>
      <c r="N49" s="706">
        <f>N29-N47</f>
        <v/>
      </c>
      <c r="O49" s="706">
        <f>O29-O47</f>
        <v/>
      </c>
      <c r="Q49" s="706">
        <f>Q29-Q47</f>
        <v/>
      </c>
      <c r="R49" s="706">
        <f>R29-R47</f>
        <v/>
      </c>
      <c r="S49" s="706">
        <f>S29-S47</f>
        <v/>
      </c>
      <c r="T49" s="706">
        <f>T29-T47</f>
        <v/>
      </c>
      <c r="U49" s="706">
        <f>U29-U47</f>
        <v/>
      </c>
      <c r="V49" s="706">
        <f>V29-V47</f>
        <v/>
      </c>
      <c r="W49" s="706">
        <f>W29-W47</f>
        <v/>
      </c>
      <c r="X49" s="706">
        <f>X29-X47</f>
        <v/>
      </c>
      <c r="Y49" s="706">
        <f>Y29-Y47</f>
        <v/>
      </c>
      <c r="Z49" s="706">
        <f>Z29-Z47</f>
        <v/>
      </c>
      <c r="AA49" s="706">
        <f>AA29-AA47</f>
        <v/>
      </c>
      <c r="AB49" s="706">
        <f>AB29-AB47</f>
        <v/>
      </c>
      <c r="AC49" s="706">
        <f>AC29-AC47</f>
        <v/>
      </c>
      <c r="AE49" s="706">
        <f>AE29-AE47</f>
        <v/>
      </c>
      <c r="AF49" s="706">
        <f>AF29-AF47</f>
        <v/>
      </c>
      <c r="AG49" s="706">
        <f>AG29-AG47</f>
        <v/>
      </c>
      <c r="AH49" s="706">
        <f>AH29-AH47</f>
        <v/>
      </c>
      <c r="AI49" s="706">
        <f>AI29-AI47</f>
        <v/>
      </c>
      <c r="AJ49" s="706">
        <f>AJ29-AJ47</f>
        <v/>
      </c>
      <c r="AK49" s="706">
        <f>AK29-AK47</f>
        <v/>
      </c>
      <c r="AL49" s="706">
        <f>AL29-AL47</f>
        <v/>
      </c>
      <c r="AM49" s="706">
        <f>AM29-AM47</f>
        <v/>
      </c>
      <c r="AN49" s="706">
        <f>AN29-AN47</f>
        <v/>
      </c>
      <c r="AO49" s="706">
        <f>AO29-AO47</f>
        <v/>
      </c>
      <c r="AP49" s="706">
        <f>AP29-AP47</f>
        <v/>
      </c>
      <c r="AQ49" s="706">
        <f>AQ29-AQ47</f>
        <v/>
      </c>
      <c r="AR49" s="706" t="n"/>
      <c r="AS49" s="706">
        <f>AS29-AS47</f>
        <v/>
      </c>
      <c r="AT49" s="706">
        <f>AT29-AT47</f>
        <v/>
      </c>
      <c r="AU49" s="706">
        <f>AU29-AU47</f>
        <v/>
      </c>
      <c r="AV49" s="706">
        <f>AV29-AV47</f>
        <v/>
      </c>
      <c r="AW49" s="706">
        <f>AW29-AW47</f>
        <v/>
      </c>
      <c r="AX49" s="706">
        <f>AX29-AX47</f>
        <v/>
      </c>
      <c r="AY49" s="706">
        <f>AY29-AY47</f>
        <v/>
      </c>
      <c r="AZ49" s="706">
        <f>AZ29-AZ47</f>
        <v/>
      </c>
      <c r="BA49" s="706">
        <f>BA29-BA47</f>
        <v/>
      </c>
      <c r="BB49" s="706">
        <f>BB29-BB47</f>
        <v/>
      </c>
      <c r="BC49" s="706">
        <f>BC29-BC47</f>
        <v/>
      </c>
      <c r="BD49" s="706">
        <f>BD29-BD47</f>
        <v/>
      </c>
      <c r="BE49" s="706">
        <f>BE29-BE47</f>
        <v/>
      </c>
      <c r="BF49" s="706" t="n"/>
      <c r="BG49" s="706">
        <f>BG29-BG47</f>
        <v/>
      </c>
      <c r="BH49" s="706">
        <f>BH29-BH47</f>
        <v/>
      </c>
      <c r="BI49" s="706">
        <f>BI29-BI47</f>
        <v/>
      </c>
      <c r="BJ49" s="706">
        <f>BJ29-BJ47</f>
        <v/>
      </c>
      <c r="BK49" s="706">
        <f>BK29-BK47</f>
        <v/>
      </c>
      <c r="BL49" s="706">
        <f>BL29-BL47</f>
        <v/>
      </c>
      <c r="BM49" s="706">
        <f>BM29-BM47</f>
        <v/>
      </c>
      <c r="BN49" s="706">
        <f>BN29-BN47</f>
        <v/>
      </c>
      <c r="BO49" s="706">
        <f>BO29-BO47</f>
        <v/>
      </c>
      <c r="BP49" s="706">
        <f>BP29-BP47</f>
        <v/>
      </c>
      <c r="BQ49" s="706">
        <f>BQ29-BQ47</f>
        <v/>
      </c>
      <c r="BR49" s="706">
        <f>BR29-BR47</f>
        <v/>
      </c>
      <c r="BS49" s="706">
        <f>BS29-BS47</f>
        <v/>
      </c>
    </row>
    <row r="50" ht="13.5" customHeight="1" thickTop="1"/>
  </sheetData>
  <mergeCells count="5">
    <mergeCell ref="BG4:BH4"/>
    <mergeCell ref="B4:D4"/>
    <mergeCell ref="AS4:AT4"/>
    <mergeCell ref="Q4:R4"/>
    <mergeCell ref="AE4:AF4"/>
  </mergeCells>
  <pageMargins left="0.7" right="0.7" top="0.75" bottom="0.75" header="0.3" footer="0.3"/>
  <pageSetup orientation="landscape" paperSize="9" scale="53"/>
  <headerFooter>
    <oddHeader>&amp;C&amp;F!&amp;A</oddHeader>
    <oddFooter>&amp;CPage 6 of 12&amp;R?2016</oddFooter>
    <evenHeader/>
    <evenFooter/>
    <firstHeader/>
    <firstFooter/>
  </headerFooter>
  <colBreaks count="4" manualBreakCount="4">
    <brk id="15" min="0" max="48" man="1"/>
    <brk id="29" min="0" max="48" man="1"/>
    <brk id="44" min="0" max="48" man="1"/>
    <brk id="58" min="0" max="48" man="1"/>
  </colBreaks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7">
    <outlinePr summaryBelow="1" summaryRight="1"/>
    <pageSetUpPr/>
  </sheetPr>
  <dimension ref="A2:BQ39"/>
  <sheetViews>
    <sheetView view="pageBreakPreview" zoomScale="80" zoomScaleNormal="100" zoomScaleSheetLayoutView="80" workbookViewId="0">
      <pane xSplit="2" ySplit="7" topLeftCell="C8" activePane="bottomRight" state="frozen"/>
      <selection pane="topRight" activeCell="AK19" sqref="AK19"/>
      <selection pane="bottomLeft" activeCell="AK19" sqref="AK19"/>
      <selection pane="bottomRight" activeCell="B9" sqref="B9"/>
    </sheetView>
  </sheetViews>
  <sheetFormatPr baseColWidth="8" defaultRowHeight="12.75"/>
  <cols>
    <col width="15.28515625" customWidth="1" style="14" min="1" max="1"/>
    <col width="18.85546875" bestFit="1" customWidth="1" style="14" min="2" max="2"/>
    <col width="12.7109375" bestFit="1" customWidth="1" min="3" max="13"/>
    <col width="11.85546875" bestFit="1" customWidth="1" min="14" max="14"/>
    <col width="11.140625" bestFit="1" customWidth="1" min="15" max="15"/>
    <col width="1.85546875" customWidth="1" min="16" max="16"/>
    <col width="2.140625" customWidth="1" min="17" max="17"/>
    <col width="11.140625" bestFit="1" customWidth="1" min="18" max="18"/>
    <col width="10.85546875" bestFit="1" customWidth="1" min="19" max="29"/>
    <col width="1.140625" customWidth="1" min="30" max="30"/>
    <col hidden="1" width="0.7109375" customWidth="1" min="31" max="31"/>
    <col width="10.85546875" bestFit="1" customWidth="1" min="32" max="43"/>
    <col width="2.5703125" customWidth="1" min="44" max="44"/>
    <col width="10.85546875" bestFit="1" customWidth="1" min="45" max="56"/>
    <col width="2.5703125" customWidth="1" min="57" max="57"/>
    <col width="10.85546875" bestFit="1" customWidth="1" min="58" max="69"/>
  </cols>
  <sheetData>
    <row r="2" ht="10.5" customHeight="1">
      <c r="A2" s="70" t="n"/>
      <c r="B2" s="70" t="n"/>
      <c r="C2" s="693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7" t="n"/>
      <c r="P2" s="12" t="n"/>
      <c r="Q2" s="12" t="n"/>
      <c r="R2" s="12" t="n"/>
    </row>
    <row r="3" ht="12" customHeight="1">
      <c r="A3" s="71" t="n"/>
      <c r="B3" s="71" t="n"/>
      <c r="C3" s="14" t="n"/>
      <c r="D3" s="14" t="n"/>
      <c r="E3" s="14" t="n"/>
      <c r="F3" s="14" t="n"/>
      <c r="G3" s="14" t="n"/>
      <c r="H3" s="14" t="n"/>
      <c r="I3" s="14" t="n"/>
      <c r="J3" s="14" t="n"/>
      <c r="K3" s="14" t="n"/>
      <c r="L3" s="14" t="n"/>
      <c r="M3" s="14" t="n"/>
      <c r="N3" s="14" t="n"/>
      <c r="O3" s="17" t="n"/>
      <c r="P3" s="12" t="n"/>
      <c r="Q3" s="12" t="n"/>
      <c r="R3" s="12" t="n"/>
    </row>
    <row r="4" ht="10.5" customHeight="1">
      <c r="C4" s="14" t="n"/>
      <c r="D4" s="14" t="n"/>
      <c r="E4" s="14" t="n"/>
      <c r="F4" s="14" t="n"/>
      <c r="G4" s="14" t="n"/>
      <c r="H4" s="14" t="n"/>
      <c r="I4" s="14" t="n"/>
      <c r="J4" s="14" t="n"/>
      <c r="K4" s="14" t="n"/>
      <c r="L4" s="14" t="n"/>
      <c r="M4" s="14" t="n"/>
      <c r="N4" s="14" t="n"/>
      <c r="O4" s="17" t="n"/>
      <c r="P4" s="12" t="n"/>
      <c r="Q4" s="12" t="n"/>
      <c r="R4" s="12" t="n"/>
    </row>
    <row r="5" ht="15" customHeight="1">
      <c r="C5" s="694" t="inlineStr">
        <is>
          <t>Balance Sheet - Year 1</t>
        </is>
      </c>
      <c r="R5" s="694" t="inlineStr">
        <is>
          <t>Balance Sheet - Year 2</t>
        </is>
      </c>
      <c r="AF5" s="694" t="inlineStr">
        <is>
          <t>Balance Sheet - Year 3</t>
        </is>
      </c>
      <c r="AS5" s="694" t="inlineStr">
        <is>
          <t>Balance Sheet - Year 4</t>
        </is>
      </c>
      <c r="BF5" s="694" t="inlineStr">
        <is>
          <t>Balance Sheet - Year 5</t>
        </is>
      </c>
    </row>
    <row r="6" ht="15" customHeight="1">
      <c r="A6" s="696" t="n"/>
      <c r="C6" s="695" t="inlineStr">
        <is>
          <t>Start Up</t>
        </is>
      </c>
      <c r="D6" s="695" t="inlineStr">
        <is>
          <t>Mnth 1</t>
        </is>
      </c>
      <c r="E6" s="695" t="inlineStr">
        <is>
          <t>Mnth 2</t>
        </is>
      </c>
      <c r="F6" s="695" t="inlineStr">
        <is>
          <t>Mnth 3</t>
        </is>
      </c>
      <c r="G6" s="695" t="inlineStr">
        <is>
          <t>Mnth 4</t>
        </is>
      </c>
      <c r="H6" s="695" t="inlineStr">
        <is>
          <t>Mnth 5</t>
        </is>
      </c>
      <c r="I6" s="695" t="inlineStr">
        <is>
          <t>Mnth 6</t>
        </is>
      </c>
      <c r="J6" s="695" t="inlineStr">
        <is>
          <t>Mnth 7</t>
        </is>
      </c>
      <c r="K6" s="695" t="inlineStr">
        <is>
          <t>Mnth 8</t>
        </is>
      </c>
      <c r="L6" s="695" t="inlineStr">
        <is>
          <t>Mnth 9</t>
        </is>
      </c>
      <c r="M6" s="695" t="inlineStr">
        <is>
          <t>Mnth 10</t>
        </is>
      </c>
      <c r="N6" s="695" t="inlineStr">
        <is>
          <t>Mnth 11</t>
        </is>
      </c>
      <c r="O6" s="695" t="inlineStr">
        <is>
          <t>Mnth 12</t>
        </is>
      </c>
      <c r="R6" s="695" t="inlineStr">
        <is>
          <t>Mnth 1</t>
        </is>
      </c>
      <c r="S6" s="695" t="inlineStr">
        <is>
          <t>Mnth 2</t>
        </is>
      </c>
      <c r="T6" s="695" t="inlineStr">
        <is>
          <t>Mnth 3</t>
        </is>
      </c>
      <c r="U6" s="695" t="inlineStr">
        <is>
          <t>Mnth 4</t>
        </is>
      </c>
      <c r="V6" s="695" t="inlineStr">
        <is>
          <t>Mnth 5</t>
        </is>
      </c>
      <c r="W6" s="695" t="inlineStr">
        <is>
          <t>Mnth 6</t>
        </is>
      </c>
      <c r="X6" s="695" t="inlineStr">
        <is>
          <t>Mnth 7</t>
        </is>
      </c>
      <c r="Y6" s="695" t="inlineStr">
        <is>
          <t>Mnth 8</t>
        </is>
      </c>
      <c r="Z6" s="695" t="inlineStr">
        <is>
          <t>Mnth 9</t>
        </is>
      </c>
      <c r="AA6" s="695" t="inlineStr">
        <is>
          <t>Mnth 10</t>
        </is>
      </c>
      <c r="AB6" s="695" t="inlineStr">
        <is>
          <t>Mnth 11</t>
        </is>
      </c>
      <c r="AC6" s="695" t="inlineStr">
        <is>
          <t>Mnth 12</t>
        </is>
      </c>
      <c r="AF6" s="695" t="inlineStr">
        <is>
          <t>Mnth 1</t>
        </is>
      </c>
      <c r="AG6" s="695" t="inlineStr">
        <is>
          <t>Mnth 2</t>
        </is>
      </c>
      <c r="AH6" s="695" t="inlineStr">
        <is>
          <t>Mnth 3</t>
        </is>
      </c>
      <c r="AI6" s="695" t="inlineStr">
        <is>
          <t>Mnth 4</t>
        </is>
      </c>
      <c r="AJ6" s="695" t="inlineStr">
        <is>
          <t>Mnth 5</t>
        </is>
      </c>
      <c r="AK6" s="695" t="inlineStr">
        <is>
          <t>Mnth 6</t>
        </is>
      </c>
      <c r="AL6" s="695" t="inlineStr">
        <is>
          <t>Mnth 7</t>
        </is>
      </c>
      <c r="AM6" s="695" t="inlineStr">
        <is>
          <t>Mnth 8</t>
        </is>
      </c>
      <c r="AN6" s="695" t="inlineStr">
        <is>
          <t>Mnth 9</t>
        </is>
      </c>
      <c r="AO6" s="695" t="inlineStr">
        <is>
          <t>Mnth 10</t>
        </is>
      </c>
      <c r="AP6" s="695" t="inlineStr">
        <is>
          <t>Mnth 11</t>
        </is>
      </c>
      <c r="AQ6" s="695" t="inlineStr">
        <is>
          <t>Mnth 12</t>
        </is>
      </c>
      <c r="AR6" s="695" t="n"/>
      <c r="AS6" s="695" t="inlineStr">
        <is>
          <t>Mnth 1</t>
        </is>
      </c>
      <c r="AT6" s="695" t="inlineStr">
        <is>
          <t>Mnth 2</t>
        </is>
      </c>
      <c r="AU6" s="695" t="inlineStr">
        <is>
          <t>Mnth 3</t>
        </is>
      </c>
      <c r="AV6" s="695" t="inlineStr">
        <is>
          <t>Mnth 4</t>
        </is>
      </c>
      <c r="AW6" s="695" t="inlineStr">
        <is>
          <t>Mnth 5</t>
        </is>
      </c>
      <c r="AX6" s="695" t="inlineStr">
        <is>
          <t>Mnth 6</t>
        </is>
      </c>
      <c r="AY6" s="695" t="inlineStr">
        <is>
          <t>Mnth 7</t>
        </is>
      </c>
      <c r="AZ6" s="695" t="inlineStr">
        <is>
          <t>Mnth 8</t>
        </is>
      </c>
      <c r="BA6" s="695" t="inlineStr">
        <is>
          <t>Mnth 9</t>
        </is>
      </c>
      <c r="BB6" s="695" t="inlineStr">
        <is>
          <t>Mnth 10</t>
        </is>
      </c>
      <c r="BC6" s="695" t="inlineStr">
        <is>
          <t>Mnth 11</t>
        </is>
      </c>
      <c r="BD6" s="695" t="inlineStr">
        <is>
          <t>Mnth 12</t>
        </is>
      </c>
      <c r="BE6" s="695" t="n"/>
      <c r="BF6" s="695" t="inlineStr">
        <is>
          <t>Mnth 1</t>
        </is>
      </c>
      <c r="BG6" s="695" t="inlineStr">
        <is>
          <t>Mnth 2</t>
        </is>
      </c>
      <c r="BH6" s="695" t="inlineStr">
        <is>
          <t>Mnth 3</t>
        </is>
      </c>
      <c r="BI6" s="695" t="inlineStr">
        <is>
          <t>Mnth 4</t>
        </is>
      </c>
      <c r="BJ6" s="695" t="inlineStr">
        <is>
          <t>Mnth 5</t>
        </is>
      </c>
      <c r="BK6" s="695" t="inlineStr">
        <is>
          <t>Mnth 6</t>
        </is>
      </c>
      <c r="BL6" s="695" t="inlineStr">
        <is>
          <t>Mnth 7</t>
        </is>
      </c>
      <c r="BM6" s="695" t="inlineStr">
        <is>
          <t>Mnth 8</t>
        </is>
      </c>
      <c r="BN6" s="695" t="inlineStr">
        <is>
          <t>Mnth 9</t>
        </is>
      </c>
      <c r="BO6" s="695" t="inlineStr">
        <is>
          <t>Mnth 10</t>
        </is>
      </c>
      <c r="BP6" s="695" t="inlineStr">
        <is>
          <t>Mnth 11</t>
        </is>
      </c>
      <c r="BQ6" s="695" t="inlineStr">
        <is>
          <t>Mnth 12</t>
        </is>
      </c>
    </row>
    <row r="7" ht="12.75" customHeight="1">
      <c r="B7" s="73" t="n"/>
      <c r="C7" s="73" t="inlineStr">
        <is>
          <t>$</t>
        </is>
      </c>
      <c r="D7" s="73" t="inlineStr">
        <is>
          <t>$</t>
        </is>
      </c>
      <c r="E7" s="73" t="inlineStr">
        <is>
          <t>$</t>
        </is>
      </c>
      <c r="F7" s="73" t="inlineStr">
        <is>
          <t>$</t>
        </is>
      </c>
      <c r="G7" s="73" t="inlineStr">
        <is>
          <t>$</t>
        </is>
      </c>
      <c r="H7" s="73" t="inlineStr">
        <is>
          <t>$</t>
        </is>
      </c>
      <c r="I7" s="73" t="inlineStr">
        <is>
          <t>$</t>
        </is>
      </c>
      <c r="J7" s="73" t="inlineStr">
        <is>
          <t>$</t>
        </is>
      </c>
      <c r="K7" s="73" t="inlineStr">
        <is>
          <t>$</t>
        </is>
      </c>
      <c r="L7" s="73" t="inlineStr">
        <is>
          <t>$</t>
        </is>
      </c>
      <c r="M7" s="73" t="inlineStr">
        <is>
          <t>$</t>
        </is>
      </c>
      <c r="N7" s="73" t="inlineStr">
        <is>
          <t>$</t>
        </is>
      </c>
      <c r="O7" s="73" t="inlineStr">
        <is>
          <t>$</t>
        </is>
      </c>
      <c r="P7" s="12" t="n"/>
      <c r="Q7" s="73" t="n"/>
      <c r="R7" s="73" t="inlineStr">
        <is>
          <t>$</t>
        </is>
      </c>
      <c r="S7" s="73" t="inlineStr">
        <is>
          <t>$</t>
        </is>
      </c>
      <c r="T7" s="73" t="inlineStr">
        <is>
          <t>$</t>
        </is>
      </c>
      <c r="U7" s="73" t="inlineStr">
        <is>
          <t>$</t>
        </is>
      </c>
      <c r="V7" s="73" t="inlineStr">
        <is>
          <t>$</t>
        </is>
      </c>
      <c r="W7" s="73" t="inlineStr">
        <is>
          <t>$</t>
        </is>
      </c>
      <c r="X7" s="73" t="inlineStr">
        <is>
          <t>$</t>
        </is>
      </c>
      <c r="Y7" s="73" t="inlineStr">
        <is>
          <t>$</t>
        </is>
      </c>
      <c r="Z7" s="73" t="inlineStr">
        <is>
          <t>$</t>
        </is>
      </c>
      <c r="AA7" s="73" t="inlineStr">
        <is>
          <t>$</t>
        </is>
      </c>
      <c r="AB7" s="73" t="inlineStr">
        <is>
          <t>$</t>
        </is>
      </c>
      <c r="AC7" s="73" t="inlineStr">
        <is>
          <t>$</t>
        </is>
      </c>
      <c r="AF7" s="73" t="inlineStr">
        <is>
          <t>$</t>
        </is>
      </c>
      <c r="AG7" s="73" t="inlineStr">
        <is>
          <t>$</t>
        </is>
      </c>
      <c r="AH7" s="73" t="inlineStr">
        <is>
          <t>$</t>
        </is>
      </c>
      <c r="AI7" s="73" t="inlineStr">
        <is>
          <t>$</t>
        </is>
      </c>
      <c r="AJ7" s="73" t="inlineStr">
        <is>
          <t>$</t>
        </is>
      </c>
      <c r="AK7" s="73" t="inlineStr">
        <is>
          <t>$</t>
        </is>
      </c>
      <c r="AL7" s="73" t="inlineStr">
        <is>
          <t>$</t>
        </is>
      </c>
      <c r="AM7" s="73" t="inlineStr">
        <is>
          <t>$</t>
        </is>
      </c>
      <c r="AN7" s="73" t="inlineStr">
        <is>
          <t>$</t>
        </is>
      </c>
      <c r="AO7" s="73" t="inlineStr">
        <is>
          <t>$</t>
        </is>
      </c>
      <c r="AP7" s="73" t="inlineStr">
        <is>
          <t>$</t>
        </is>
      </c>
      <c r="AQ7" s="73" t="inlineStr">
        <is>
          <t>$</t>
        </is>
      </c>
      <c r="AR7" s="73" t="n"/>
      <c r="AS7" s="73" t="n"/>
    </row>
    <row r="8">
      <c r="A8" s="696" t="inlineStr">
        <is>
          <t>Fixed Assets</t>
        </is>
      </c>
    </row>
    <row r="9">
      <c r="A9" s="696" t="n"/>
      <c r="B9" s="697" t="inlineStr">
        <is>
          <t>Equipment</t>
        </is>
      </c>
      <c r="C9" s="698">
        <f>SUMIF('TB Mnthly'!$A:$A,'BS Mnthly'!$B9,'TB Mnthly'!C:C)</f>
        <v/>
      </c>
      <c r="D9" s="698">
        <f>SUMIF('TB Mnthly'!$A:$A,'BS Mnthly'!$B9,'TB Mnthly'!D:D)</f>
        <v/>
      </c>
      <c r="E9" s="698">
        <f>SUMIF('TB Mnthly'!$A:$A,'BS Mnthly'!$B9,'TB Mnthly'!E:E)</f>
        <v/>
      </c>
      <c r="F9" s="698">
        <f>SUMIF('TB Mnthly'!$A:$A,'BS Mnthly'!$B9,'TB Mnthly'!F:F)</f>
        <v/>
      </c>
      <c r="G9" s="698">
        <f>SUMIF('TB Mnthly'!$A:$A,'BS Mnthly'!$B9,'TB Mnthly'!G:G)</f>
        <v/>
      </c>
      <c r="H9" s="698">
        <f>SUMIF('TB Mnthly'!$A:$A,'BS Mnthly'!$B9,'TB Mnthly'!H:H)</f>
        <v/>
      </c>
      <c r="I9" s="698">
        <f>SUMIF('TB Mnthly'!$A:$A,'BS Mnthly'!$B9,'TB Mnthly'!I:I)</f>
        <v/>
      </c>
      <c r="J9" s="698">
        <f>SUMIF('TB Mnthly'!$A:$A,'BS Mnthly'!$B9,'TB Mnthly'!J:J)</f>
        <v/>
      </c>
      <c r="K9" s="698">
        <f>SUMIF('TB Mnthly'!$A:$A,'BS Mnthly'!$B9,'TB Mnthly'!K:K)</f>
        <v/>
      </c>
      <c r="L9" s="698">
        <f>SUMIF('TB Mnthly'!$A:$A,'BS Mnthly'!$B9,'TB Mnthly'!L:L)</f>
        <v/>
      </c>
      <c r="M9" s="698">
        <f>SUMIF('TB Mnthly'!$A:$A,'BS Mnthly'!$B9,'TB Mnthly'!M:M)</f>
        <v/>
      </c>
      <c r="N9" s="698">
        <f>SUMIF('TB Mnthly'!$A:$A,'BS Mnthly'!$B9,'TB Mnthly'!N:N)</f>
        <v/>
      </c>
      <c r="O9" s="698">
        <f>SUMIF('TB Mnthly'!$A:$A,'BS Mnthly'!$B9,'TB Mnthly'!O:O)</f>
        <v/>
      </c>
      <c r="R9" s="698">
        <f>SUMIF('TB Mnthly'!$A:$A,'BS Mnthly'!$B9,'TB Mnthly'!R:R)</f>
        <v/>
      </c>
      <c r="S9" s="698">
        <f>SUMIF('TB Mnthly'!$A:$A,'BS Mnthly'!$B9,'TB Mnthly'!S:S)</f>
        <v/>
      </c>
      <c r="T9" s="698">
        <f>SUMIF('TB Mnthly'!$A:$A,'BS Mnthly'!$B9,'TB Mnthly'!T:T)</f>
        <v/>
      </c>
      <c r="U9" s="698">
        <f>SUMIF('TB Mnthly'!$A:$A,'BS Mnthly'!$B9,'TB Mnthly'!U:U)</f>
        <v/>
      </c>
      <c r="V9" s="698">
        <f>SUMIF('TB Mnthly'!$A:$A,'BS Mnthly'!$B9,'TB Mnthly'!V:V)</f>
        <v/>
      </c>
      <c r="W9" s="698">
        <f>SUMIF('TB Mnthly'!$A:$A,'BS Mnthly'!$B9,'TB Mnthly'!W:W)</f>
        <v/>
      </c>
      <c r="X9" s="698">
        <f>SUMIF('TB Mnthly'!$A:$A,'BS Mnthly'!$B9,'TB Mnthly'!X:X)</f>
        <v/>
      </c>
      <c r="Y9" s="698">
        <f>SUMIF('TB Mnthly'!$A:$A,'BS Mnthly'!$B9,'TB Mnthly'!Y:Y)</f>
        <v/>
      </c>
      <c r="Z9" s="698">
        <f>SUMIF('TB Mnthly'!$A:$A,'BS Mnthly'!$B9,'TB Mnthly'!Z:Z)</f>
        <v/>
      </c>
      <c r="AA9" s="698">
        <f>SUMIF('TB Mnthly'!$A:$A,'BS Mnthly'!$B9,'TB Mnthly'!AA:AA)</f>
        <v/>
      </c>
      <c r="AB9" s="698">
        <f>SUMIF('TB Mnthly'!$A:$A,'BS Mnthly'!$B9,'TB Mnthly'!AB:AB)</f>
        <v/>
      </c>
      <c r="AC9" s="698">
        <f>SUMIF('TB Mnthly'!$A:$A,'BS Mnthly'!$B9,'TB Mnthly'!AC:AC)</f>
        <v/>
      </c>
      <c r="AF9" s="698">
        <f>SUMIF('TB Mnthly'!$A:$A,'BS Mnthly'!$B9,'TB Mnthly'!AF:AF)</f>
        <v/>
      </c>
      <c r="AG9" s="698">
        <f>SUMIF('TB Mnthly'!$A:$A,'BS Mnthly'!$B9,'TB Mnthly'!AG:AG)</f>
        <v/>
      </c>
      <c r="AH9" s="698">
        <f>SUMIF('TB Mnthly'!$A:$A,'BS Mnthly'!$B9,'TB Mnthly'!AH:AH)</f>
        <v/>
      </c>
      <c r="AI9" s="698">
        <f>SUMIF('TB Mnthly'!$A:$A,'BS Mnthly'!$B9,'TB Mnthly'!AI:AI)</f>
        <v/>
      </c>
      <c r="AJ9" s="698">
        <f>SUMIF('TB Mnthly'!$A:$A,'BS Mnthly'!$B9,'TB Mnthly'!AJ:AJ)</f>
        <v/>
      </c>
      <c r="AK9" s="698">
        <f>SUMIF('TB Mnthly'!$A:$A,'BS Mnthly'!$B9,'TB Mnthly'!AK:AK)</f>
        <v/>
      </c>
      <c r="AL9" s="698">
        <f>SUMIF('TB Mnthly'!$A:$A,'BS Mnthly'!$B9,'TB Mnthly'!AL:AL)</f>
        <v/>
      </c>
      <c r="AM9" s="698">
        <f>SUMIF('TB Mnthly'!$A:$A,'BS Mnthly'!$B9,'TB Mnthly'!AM:AM)</f>
        <v/>
      </c>
      <c r="AN9" s="698">
        <f>SUMIF('TB Mnthly'!$A:$A,'BS Mnthly'!$B9,'TB Mnthly'!AN:AN)</f>
        <v/>
      </c>
      <c r="AO9" s="698">
        <f>SUMIF('TB Mnthly'!$A:$A,'BS Mnthly'!$B9,'TB Mnthly'!AO:AO)</f>
        <v/>
      </c>
      <c r="AP9" s="698">
        <f>SUMIF('TB Mnthly'!$A:$A,'BS Mnthly'!$B9,'TB Mnthly'!AP:AP)</f>
        <v/>
      </c>
      <c r="AQ9" s="698">
        <f>SUMIF('TB Mnthly'!$A:$A,'BS Mnthly'!$B9,'TB Mnthly'!AQ:AQ)</f>
        <v/>
      </c>
      <c r="AR9" s="698" t="n"/>
      <c r="AS9" s="698">
        <f>SUMIF('TB Mnthly'!$A:$A,'BS Mnthly'!$B9,'TB Mnthly'!AT:AT)</f>
        <v/>
      </c>
      <c r="AT9" s="698">
        <f>SUMIF('TB Mnthly'!$A:$A,'BS Mnthly'!$B9,'TB Mnthly'!AU:AU)</f>
        <v/>
      </c>
      <c r="AU9" s="698">
        <f>SUMIF('TB Mnthly'!$A:$A,'BS Mnthly'!$B9,'TB Mnthly'!AV:AV)</f>
        <v/>
      </c>
      <c r="AV9" s="698">
        <f>SUMIF('TB Mnthly'!$A:$A,'BS Mnthly'!$B9,'TB Mnthly'!AW:AW)</f>
        <v/>
      </c>
      <c r="AW9" s="698">
        <f>SUMIF('TB Mnthly'!$A:$A,'BS Mnthly'!$B9,'TB Mnthly'!AX:AX)</f>
        <v/>
      </c>
      <c r="AX9" s="698">
        <f>SUMIF('TB Mnthly'!$A:$A,'BS Mnthly'!$B9,'TB Mnthly'!AY:AY)</f>
        <v/>
      </c>
      <c r="AY9" s="698">
        <f>SUMIF('TB Mnthly'!$A:$A,'BS Mnthly'!$B9,'TB Mnthly'!AZ:AZ)</f>
        <v/>
      </c>
      <c r="AZ9" s="698">
        <f>SUMIF('TB Mnthly'!$A:$A,'BS Mnthly'!$B9,'TB Mnthly'!BA:BA)</f>
        <v/>
      </c>
      <c r="BA9" s="698">
        <f>SUMIF('TB Mnthly'!$A:$A,'BS Mnthly'!$B9,'TB Mnthly'!BB:BB)</f>
        <v/>
      </c>
      <c r="BB9" s="698">
        <f>SUMIF('TB Mnthly'!$A:$A,'BS Mnthly'!$B9,'TB Mnthly'!BC:BC)</f>
        <v/>
      </c>
      <c r="BC9" s="698">
        <f>SUMIF('TB Mnthly'!$A:$A,'BS Mnthly'!$B9,'TB Mnthly'!BD:BD)</f>
        <v/>
      </c>
      <c r="BD9" s="698">
        <f>SUMIF('TB Mnthly'!$A:$A,'BS Mnthly'!$B9,'TB Mnthly'!BE:BE)</f>
        <v/>
      </c>
      <c r="BE9" s="698" t="n"/>
      <c r="BF9" s="698">
        <f>SUMIF('TB Mnthly'!$A:$A,'BS Mnthly'!$B9,'TB Mnthly'!BH:BH)</f>
        <v/>
      </c>
      <c r="BG9" s="698">
        <f>SUMIF('TB Mnthly'!$A:$A,'BS Mnthly'!$B9,'TB Mnthly'!BI:BI)</f>
        <v/>
      </c>
      <c r="BH9" s="698">
        <f>SUMIF('TB Mnthly'!$A:$A,'BS Mnthly'!$B9,'TB Mnthly'!BJ:BJ)</f>
        <v/>
      </c>
      <c r="BI9" s="698">
        <f>SUMIF('TB Mnthly'!$A:$A,'BS Mnthly'!$B9,'TB Mnthly'!BK:BK)</f>
        <v/>
      </c>
      <c r="BJ9" s="698">
        <f>SUMIF('TB Mnthly'!$A:$A,'BS Mnthly'!$B9,'TB Mnthly'!BL:BL)</f>
        <v/>
      </c>
      <c r="BK9" s="698">
        <f>SUMIF('TB Mnthly'!$A:$A,'BS Mnthly'!$B9,'TB Mnthly'!BM:BM)</f>
        <v/>
      </c>
      <c r="BL9" s="698">
        <f>SUMIF('TB Mnthly'!$A:$A,'BS Mnthly'!$B9,'TB Mnthly'!BN:BN)</f>
        <v/>
      </c>
      <c r="BM9" s="698">
        <f>SUMIF('TB Mnthly'!$A:$A,'BS Mnthly'!$B9,'TB Mnthly'!BO:BO)</f>
        <v/>
      </c>
      <c r="BN9" s="698">
        <f>SUMIF('TB Mnthly'!$A:$A,'BS Mnthly'!$B9,'TB Mnthly'!BP:BP)</f>
        <v/>
      </c>
      <c r="BO9" s="698">
        <f>SUMIF('TB Mnthly'!$A:$A,'BS Mnthly'!$B9,'TB Mnthly'!BQ:BQ)</f>
        <v/>
      </c>
      <c r="BP9" s="698">
        <f>SUMIF('TB Mnthly'!$A:$A,'BS Mnthly'!$B9,'TB Mnthly'!BR:BR)</f>
        <v/>
      </c>
      <c r="BQ9" s="698">
        <f>SUMIF('TB Mnthly'!$A:$A,'BS Mnthly'!$B9,'TB Mnthly'!BS:BS)</f>
        <v/>
      </c>
    </row>
    <row r="10">
      <c r="A10" s="696" t="n"/>
      <c r="C10" s="701" t="n"/>
      <c r="D10" s="701" t="n"/>
      <c r="E10" s="701" t="n"/>
      <c r="F10" s="701" t="n"/>
      <c r="G10" s="701" t="n"/>
      <c r="H10" s="701" t="n"/>
      <c r="I10" s="701" t="n"/>
      <c r="J10" s="701" t="n"/>
      <c r="K10" s="701" t="n"/>
      <c r="L10" s="701" t="n"/>
      <c r="M10" s="701" t="n"/>
      <c r="N10" s="701" t="n"/>
      <c r="O10" s="701" t="n"/>
      <c r="R10" s="701" t="n"/>
      <c r="S10" s="701" t="n"/>
      <c r="T10" s="701" t="n"/>
      <c r="U10" s="701" t="n"/>
      <c r="V10" s="701" t="n"/>
      <c r="W10" s="701" t="n"/>
      <c r="X10" s="701" t="n"/>
      <c r="Y10" s="701" t="n"/>
      <c r="Z10" s="701" t="n"/>
      <c r="AA10" s="701" t="n"/>
      <c r="AB10" s="701" t="n"/>
      <c r="AC10" s="701" t="n"/>
      <c r="AF10" s="701" t="n"/>
      <c r="AG10" s="701" t="n"/>
      <c r="AH10" s="701" t="n"/>
      <c r="AI10" s="701" t="n"/>
      <c r="AJ10" s="701" t="n"/>
      <c r="AK10" s="701" t="n"/>
      <c r="AL10" s="701" t="n"/>
      <c r="AM10" s="701" t="n"/>
      <c r="AN10" s="701" t="n"/>
      <c r="AO10" s="701" t="n"/>
      <c r="AP10" s="701" t="n"/>
      <c r="AQ10" s="701" t="n"/>
      <c r="AR10" s="701" t="n"/>
      <c r="AS10" s="701" t="n"/>
      <c r="AT10" s="701" t="n"/>
      <c r="AU10" s="701" t="n"/>
      <c r="AV10" s="701" t="n"/>
      <c r="AW10" s="701" t="n"/>
      <c r="AX10" s="701" t="n"/>
      <c r="AY10" s="701" t="n"/>
      <c r="AZ10" s="701" t="n"/>
      <c r="BA10" s="701" t="n"/>
      <c r="BB10" s="701" t="n"/>
      <c r="BC10" s="701" t="n"/>
      <c r="BD10" s="701" t="n"/>
      <c r="BE10" s="701" t="n"/>
      <c r="BF10" s="701" t="n"/>
      <c r="BG10" s="701" t="n"/>
      <c r="BH10" s="701" t="n"/>
      <c r="BI10" s="701" t="n"/>
      <c r="BJ10" s="701" t="n"/>
      <c r="BK10" s="701" t="n"/>
      <c r="BL10" s="701" t="n"/>
      <c r="BM10" s="701" t="n"/>
      <c r="BN10" s="701" t="n"/>
      <c r="BO10" s="701" t="n"/>
      <c r="BP10" s="701" t="n"/>
      <c r="BQ10" s="701" t="n"/>
    </row>
    <row r="11">
      <c r="A11" s="696" t="n"/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1" t="n"/>
      <c r="O11" s="701" t="n"/>
      <c r="R11" s="701" t="n"/>
      <c r="S11" s="701" t="n"/>
      <c r="T11" s="701" t="n"/>
      <c r="U11" s="701" t="n"/>
      <c r="V11" s="701" t="n"/>
      <c r="W11" s="701" t="n"/>
      <c r="X11" s="701" t="n"/>
      <c r="Y11" s="701" t="n"/>
      <c r="Z11" s="701" t="n"/>
      <c r="AA11" s="701" t="n"/>
      <c r="AB11" s="701" t="n"/>
      <c r="AC11" s="701" t="n"/>
      <c r="AF11" s="701" t="n"/>
      <c r="AG11" s="701" t="n"/>
      <c r="AH11" s="701" t="n"/>
      <c r="AI11" s="701" t="n"/>
      <c r="AJ11" s="701" t="n"/>
      <c r="AK11" s="701" t="n"/>
      <c r="AL11" s="701" t="n"/>
      <c r="AM11" s="701" t="n"/>
      <c r="AN11" s="701" t="n"/>
      <c r="AO11" s="701" t="n"/>
      <c r="AP11" s="701" t="n"/>
      <c r="AQ11" s="701" t="n"/>
      <c r="AR11" s="701" t="n"/>
      <c r="AS11" s="701" t="n"/>
      <c r="AT11" s="701" t="n"/>
      <c r="AU11" s="701" t="n"/>
      <c r="AV11" s="701" t="n"/>
      <c r="AW11" s="701" t="n"/>
      <c r="AX11" s="701" t="n"/>
      <c r="AY11" s="701" t="n"/>
      <c r="AZ11" s="701" t="n"/>
      <c r="BA11" s="701" t="n"/>
      <c r="BB11" s="701" t="n"/>
      <c r="BC11" s="701" t="n"/>
      <c r="BD11" s="701" t="n"/>
      <c r="BE11" s="701" t="n"/>
      <c r="BF11" s="701" t="n"/>
      <c r="BG11" s="701" t="n"/>
      <c r="BH11" s="701" t="n"/>
      <c r="BI11" s="701" t="n"/>
      <c r="BJ11" s="701" t="n"/>
      <c r="BK11" s="701" t="n"/>
      <c r="BL11" s="701" t="n"/>
      <c r="BM11" s="701" t="n"/>
      <c r="BN11" s="701" t="n"/>
      <c r="BO11" s="701" t="n"/>
      <c r="BP11" s="701" t="n"/>
      <c r="BQ11" s="701" t="n"/>
    </row>
    <row r="12">
      <c r="A12" s="696" t="inlineStr">
        <is>
          <t>Current Assets</t>
        </is>
      </c>
      <c r="C12" s="701" t="n"/>
      <c r="D12" s="701" t="n"/>
      <c r="E12" s="701" t="n"/>
      <c r="F12" s="701" t="n"/>
      <c r="G12" s="701" t="n"/>
      <c r="H12" s="701" t="n"/>
      <c r="I12" s="701" t="n"/>
      <c r="J12" s="701" t="n"/>
      <c r="K12" s="701" t="n"/>
      <c r="L12" s="701" t="n"/>
      <c r="M12" s="701" t="n"/>
      <c r="N12" s="701" t="n"/>
      <c r="O12" s="701" t="n"/>
      <c r="R12" s="701" t="n"/>
      <c r="S12" s="701" t="n"/>
      <c r="T12" s="701" t="n"/>
      <c r="U12" s="701" t="n"/>
      <c r="V12" s="701" t="n"/>
      <c r="W12" s="701" t="n"/>
      <c r="X12" s="701" t="n"/>
      <c r="Y12" s="701" t="n"/>
      <c r="Z12" s="701" t="n"/>
      <c r="AA12" s="701" t="n"/>
      <c r="AB12" s="701" t="n"/>
      <c r="AC12" s="701" t="n"/>
      <c r="AF12" s="701" t="n"/>
      <c r="AG12" s="701" t="n"/>
      <c r="AH12" s="701" t="n"/>
      <c r="AI12" s="701" t="n"/>
      <c r="AJ12" s="701" t="n"/>
      <c r="AK12" s="701" t="n"/>
      <c r="AL12" s="701" t="n"/>
      <c r="AM12" s="701" t="n"/>
      <c r="AN12" s="701" t="n"/>
      <c r="AO12" s="701" t="n"/>
      <c r="AP12" s="701" t="n"/>
      <c r="AQ12" s="701" t="n"/>
      <c r="AR12" s="701" t="n"/>
      <c r="AS12" s="701" t="n"/>
      <c r="AT12" s="701" t="n"/>
      <c r="AU12" s="701" t="n"/>
      <c r="AV12" s="701" t="n"/>
      <c r="AW12" s="701" t="n"/>
      <c r="AX12" s="701" t="n"/>
      <c r="AY12" s="701" t="n"/>
      <c r="AZ12" s="701" t="n"/>
      <c r="BA12" s="701" t="n"/>
      <c r="BB12" s="701" t="n"/>
      <c r="BC12" s="701" t="n"/>
      <c r="BD12" s="701" t="n"/>
      <c r="BE12" s="701" t="n"/>
      <c r="BF12" s="701" t="n"/>
      <c r="BG12" s="701" t="n"/>
      <c r="BH12" s="701" t="n"/>
      <c r="BI12" s="701" t="n"/>
      <c r="BJ12" s="701" t="n"/>
      <c r="BK12" s="701" t="n"/>
      <c r="BL12" s="701" t="n"/>
      <c r="BM12" s="701" t="n"/>
      <c r="BN12" s="701" t="n"/>
      <c r="BO12" s="701" t="n"/>
      <c r="BP12" s="701" t="n"/>
      <c r="BQ12" s="701" t="n"/>
    </row>
    <row r="13">
      <c r="A13" s="696" t="n"/>
      <c r="B13" s="697" t="inlineStr">
        <is>
          <t>Cash in hand and at bank</t>
        </is>
      </c>
      <c r="C13" s="698">
        <f>SUMIF('TB Mnthly'!$A:$A,'BS Mnthly'!$B13,'TB Mnthly'!C:C)</f>
        <v/>
      </c>
      <c r="D13" s="698">
        <f>SUMIF('TB Mnthly'!$A:$A,'BS Mnthly'!$B13,'TB Mnthly'!D:D)</f>
        <v/>
      </c>
      <c r="E13" s="698">
        <f>SUMIF('TB Mnthly'!$A:$A,'BS Mnthly'!$B13,'TB Mnthly'!E:E)</f>
        <v/>
      </c>
      <c r="F13" s="698">
        <f>SUMIF('TB Mnthly'!$A:$A,'BS Mnthly'!$B13,'TB Mnthly'!F:F)</f>
        <v/>
      </c>
      <c r="G13" s="698">
        <f>SUMIF('TB Mnthly'!$A:$A,'BS Mnthly'!$B13,'TB Mnthly'!G:G)</f>
        <v/>
      </c>
      <c r="H13" s="698">
        <f>SUMIF('TB Mnthly'!$A:$A,'BS Mnthly'!$B13,'TB Mnthly'!H:H)</f>
        <v/>
      </c>
      <c r="I13" s="698">
        <f>SUMIF('TB Mnthly'!$A:$A,'BS Mnthly'!$B13,'TB Mnthly'!I:I)</f>
        <v/>
      </c>
      <c r="J13" s="698">
        <f>SUMIF('TB Mnthly'!$A:$A,'BS Mnthly'!$B13,'TB Mnthly'!J:J)</f>
        <v/>
      </c>
      <c r="K13" s="698">
        <f>SUMIF('TB Mnthly'!$A:$A,'BS Mnthly'!$B13,'TB Mnthly'!K:K)</f>
        <v/>
      </c>
      <c r="L13" s="698">
        <f>SUMIF('TB Mnthly'!$A:$A,'BS Mnthly'!$B13,'TB Mnthly'!L:L)</f>
        <v/>
      </c>
      <c r="M13" s="698">
        <f>SUMIF('TB Mnthly'!$A:$A,'BS Mnthly'!$B13,'TB Mnthly'!M:M)</f>
        <v/>
      </c>
      <c r="N13" s="698">
        <f>SUMIF('TB Mnthly'!$A:$A,'BS Mnthly'!$B13,'TB Mnthly'!N:N)</f>
        <v/>
      </c>
      <c r="O13" s="698">
        <f>SUMIF('TB Mnthly'!$A:$A,'BS Mnthly'!$B13,'TB Mnthly'!O:O)</f>
        <v/>
      </c>
      <c r="R13" s="698">
        <f>SUMIF('TB Mnthly'!$A:$A,'BS Mnthly'!$B13,'TB Mnthly'!R:R)</f>
        <v/>
      </c>
      <c r="S13" s="698">
        <f>SUMIF('TB Mnthly'!$A:$A,'BS Mnthly'!$B13,'TB Mnthly'!S:S)</f>
        <v/>
      </c>
      <c r="T13" s="698">
        <f>SUMIF('TB Mnthly'!$A:$A,'BS Mnthly'!$B13,'TB Mnthly'!T:T)</f>
        <v/>
      </c>
      <c r="U13" s="698">
        <f>SUMIF('TB Mnthly'!$A:$A,'BS Mnthly'!$B13,'TB Mnthly'!U:U)</f>
        <v/>
      </c>
      <c r="V13" s="698">
        <f>SUMIF('TB Mnthly'!$A:$A,'BS Mnthly'!$B13,'TB Mnthly'!V:V)</f>
        <v/>
      </c>
      <c r="W13" s="698">
        <f>SUMIF('TB Mnthly'!$A:$A,'BS Mnthly'!$B13,'TB Mnthly'!W:W)</f>
        <v/>
      </c>
      <c r="X13" s="698">
        <f>SUMIF('TB Mnthly'!$A:$A,'BS Mnthly'!$B13,'TB Mnthly'!X:X)</f>
        <v/>
      </c>
      <c r="Y13" s="698">
        <f>SUMIF('TB Mnthly'!$A:$A,'BS Mnthly'!$B13,'TB Mnthly'!Y:Y)</f>
        <v/>
      </c>
      <c r="Z13" s="698">
        <f>SUMIF('TB Mnthly'!$A:$A,'BS Mnthly'!$B13,'TB Mnthly'!Z:Z)</f>
        <v/>
      </c>
      <c r="AA13" s="698">
        <f>SUMIF('TB Mnthly'!$A:$A,'BS Mnthly'!$B13,'TB Mnthly'!AA:AA)</f>
        <v/>
      </c>
      <c r="AB13" s="698">
        <f>SUMIF('TB Mnthly'!$A:$A,'BS Mnthly'!$B13,'TB Mnthly'!AB:AB)</f>
        <v/>
      </c>
      <c r="AC13" s="698">
        <f>SUMIF('TB Mnthly'!$A:$A,'BS Mnthly'!$B13,'TB Mnthly'!AC:AC)</f>
        <v/>
      </c>
      <c r="AF13" s="698">
        <f>SUMIF('TB Mnthly'!$A:$A,'BS Mnthly'!$B13,'TB Mnthly'!AF:AF)</f>
        <v/>
      </c>
      <c r="AG13" s="698">
        <f>SUMIF('TB Mnthly'!$A:$A,'BS Mnthly'!$B13,'TB Mnthly'!AG:AG)</f>
        <v/>
      </c>
      <c r="AH13" s="698">
        <f>SUMIF('TB Mnthly'!$A:$A,'BS Mnthly'!$B13,'TB Mnthly'!AH:AH)</f>
        <v/>
      </c>
      <c r="AI13" s="698">
        <f>SUMIF('TB Mnthly'!$A:$A,'BS Mnthly'!$B13,'TB Mnthly'!AI:AI)</f>
        <v/>
      </c>
      <c r="AJ13" s="698">
        <f>SUMIF('TB Mnthly'!$A:$A,'BS Mnthly'!$B13,'TB Mnthly'!AJ:AJ)</f>
        <v/>
      </c>
      <c r="AK13" s="698">
        <f>SUMIF('TB Mnthly'!$A:$A,'BS Mnthly'!$B13,'TB Mnthly'!AK:AK)</f>
        <v/>
      </c>
      <c r="AL13" s="698">
        <f>SUMIF('TB Mnthly'!$A:$A,'BS Mnthly'!$B13,'TB Mnthly'!AL:AL)</f>
        <v/>
      </c>
      <c r="AM13" s="698">
        <f>SUMIF('TB Mnthly'!$A:$A,'BS Mnthly'!$B13,'TB Mnthly'!AM:AM)</f>
        <v/>
      </c>
      <c r="AN13" s="698">
        <f>SUMIF('TB Mnthly'!$A:$A,'BS Mnthly'!$B13,'TB Mnthly'!AN:AN)</f>
        <v/>
      </c>
      <c r="AO13" s="698">
        <f>SUMIF('TB Mnthly'!$A:$A,'BS Mnthly'!$B13,'TB Mnthly'!AO:AO)</f>
        <v/>
      </c>
      <c r="AP13" s="698">
        <f>SUMIF('TB Mnthly'!$A:$A,'BS Mnthly'!$B13,'TB Mnthly'!AP:AP)</f>
        <v/>
      </c>
      <c r="AQ13" s="698">
        <f>SUMIF('TB Mnthly'!$A:$A,'BS Mnthly'!$B13,'TB Mnthly'!AQ:AQ)</f>
        <v/>
      </c>
      <c r="AR13" s="698" t="n"/>
      <c r="AS13" s="698">
        <f>SUMIF('TB Mnthly'!$A:$A,'BS Mnthly'!$B13,'TB Mnthly'!AT:AT)</f>
        <v/>
      </c>
      <c r="AT13" s="698">
        <f>SUMIF('TB Mnthly'!$A:$A,'BS Mnthly'!$B13,'TB Mnthly'!AU:AU)</f>
        <v/>
      </c>
      <c r="AU13" s="698">
        <f>SUMIF('TB Mnthly'!$A:$A,'BS Mnthly'!$B13,'TB Mnthly'!AV:AV)</f>
        <v/>
      </c>
      <c r="AV13" s="698">
        <f>SUMIF('TB Mnthly'!$A:$A,'BS Mnthly'!$B13,'TB Mnthly'!AW:AW)</f>
        <v/>
      </c>
      <c r="AW13" s="698">
        <f>SUMIF('TB Mnthly'!$A:$A,'BS Mnthly'!$B13,'TB Mnthly'!AX:AX)</f>
        <v/>
      </c>
      <c r="AX13" s="698">
        <f>SUMIF('TB Mnthly'!$A:$A,'BS Mnthly'!$B13,'TB Mnthly'!AY:AY)</f>
        <v/>
      </c>
      <c r="AY13" s="698">
        <f>SUMIF('TB Mnthly'!$A:$A,'BS Mnthly'!$B13,'TB Mnthly'!AZ:AZ)</f>
        <v/>
      </c>
      <c r="AZ13" s="698">
        <f>SUMIF('TB Mnthly'!$A:$A,'BS Mnthly'!$B13,'TB Mnthly'!BA:BA)</f>
        <v/>
      </c>
      <c r="BA13" s="698">
        <f>SUMIF('TB Mnthly'!$A:$A,'BS Mnthly'!$B13,'TB Mnthly'!BB:BB)</f>
        <v/>
      </c>
      <c r="BB13" s="698">
        <f>SUMIF('TB Mnthly'!$A:$A,'BS Mnthly'!$B13,'TB Mnthly'!BC:BC)</f>
        <v/>
      </c>
      <c r="BC13" s="698">
        <f>SUMIF('TB Mnthly'!$A:$A,'BS Mnthly'!$B13,'TB Mnthly'!BD:BD)</f>
        <v/>
      </c>
      <c r="BD13" s="698">
        <f>SUMIF('TB Mnthly'!$A:$A,'BS Mnthly'!$B13,'TB Mnthly'!BE:BE)</f>
        <v/>
      </c>
      <c r="BE13" s="698" t="n"/>
      <c r="BF13" s="698">
        <f>SUMIF('TB Mnthly'!$A:$A,'BS Mnthly'!$B13,'TB Mnthly'!BH:BH)</f>
        <v/>
      </c>
      <c r="BG13" s="698">
        <f>SUMIF('TB Mnthly'!$A:$A,'BS Mnthly'!$B13,'TB Mnthly'!BI:BI)</f>
        <v/>
      </c>
      <c r="BH13" s="698">
        <f>SUMIF('TB Mnthly'!$A:$A,'BS Mnthly'!$B13,'TB Mnthly'!BJ:BJ)</f>
        <v/>
      </c>
      <c r="BI13" s="698">
        <f>SUMIF('TB Mnthly'!$A:$A,'BS Mnthly'!$B13,'TB Mnthly'!BK:BK)</f>
        <v/>
      </c>
      <c r="BJ13" s="698">
        <f>SUMIF('TB Mnthly'!$A:$A,'BS Mnthly'!$B13,'TB Mnthly'!BL:BL)</f>
        <v/>
      </c>
      <c r="BK13" s="698">
        <f>SUMIF('TB Mnthly'!$A:$A,'BS Mnthly'!$B13,'TB Mnthly'!BM:BM)</f>
        <v/>
      </c>
      <c r="BL13" s="698">
        <f>SUMIF('TB Mnthly'!$A:$A,'BS Mnthly'!$B13,'TB Mnthly'!BN:BN)</f>
        <v/>
      </c>
      <c r="BM13" s="698">
        <f>SUMIF('TB Mnthly'!$A:$A,'BS Mnthly'!$B13,'TB Mnthly'!BO:BO)</f>
        <v/>
      </c>
      <c r="BN13" s="698">
        <f>SUMIF('TB Mnthly'!$A:$A,'BS Mnthly'!$B13,'TB Mnthly'!BP:BP)</f>
        <v/>
      </c>
      <c r="BO13" s="698">
        <f>SUMIF('TB Mnthly'!$A:$A,'BS Mnthly'!$B13,'TB Mnthly'!BQ:BQ)</f>
        <v/>
      </c>
      <c r="BP13" s="698">
        <f>SUMIF('TB Mnthly'!$A:$A,'BS Mnthly'!$B13,'TB Mnthly'!BR:BR)</f>
        <v/>
      </c>
      <c r="BQ13" s="698">
        <f>SUMIF('TB Mnthly'!$A:$A,'BS Mnthly'!$B13,'TB Mnthly'!BS:BS)</f>
        <v/>
      </c>
    </row>
    <row r="14">
      <c r="A14" s="696" t="n"/>
      <c r="C14" s="701" t="n"/>
      <c r="D14" s="701" t="n"/>
      <c r="E14" s="701" t="n"/>
      <c r="F14" s="701" t="n"/>
      <c r="G14" s="701" t="n"/>
      <c r="H14" s="701" t="n"/>
      <c r="I14" s="701" t="n"/>
      <c r="J14" s="701" t="n"/>
      <c r="K14" s="701" t="n"/>
      <c r="L14" s="701" t="n"/>
      <c r="M14" s="701" t="n"/>
      <c r="N14" s="701" t="n"/>
      <c r="O14" s="701" t="n"/>
      <c r="R14" s="701" t="n"/>
      <c r="S14" s="701" t="n"/>
      <c r="T14" s="701" t="n"/>
      <c r="U14" s="701" t="n"/>
      <c r="V14" s="701" t="n"/>
      <c r="W14" s="701" t="n"/>
      <c r="X14" s="701" t="n"/>
      <c r="Y14" s="701" t="n"/>
      <c r="Z14" s="701" t="n"/>
      <c r="AA14" s="701" t="n"/>
      <c r="AB14" s="701" t="n"/>
      <c r="AC14" s="701" t="n"/>
      <c r="AF14" s="701" t="n"/>
      <c r="AG14" s="701" t="n"/>
      <c r="AH14" s="701" t="n"/>
      <c r="AI14" s="701" t="n"/>
      <c r="AJ14" s="701" t="n"/>
      <c r="AK14" s="701" t="n"/>
      <c r="AL14" s="701" t="n"/>
      <c r="AM14" s="701" t="n"/>
      <c r="AN14" s="701" t="n"/>
      <c r="AO14" s="701" t="n"/>
      <c r="AP14" s="701" t="n"/>
      <c r="AQ14" s="701" t="n"/>
      <c r="AR14" s="701" t="n"/>
      <c r="AS14" s="701" t="n"/>
      <c r="AT14" s="701" t="n"/>
      <c r="AU14" s="701" t="n"/>
      <c r="AV14" s="701" t="n"/>
      <c r="AW14" s="701" t="n"/>
      <c r="AX14" s="701" t="n"/>
      <c r="AY14" s="701" t="n"/>
      <c r="AZ14" s="701" t="n"/>
      <c r="BA14" s="701" t="n"/>
      <c r="BB14" s="701" t="n"/>
      <c r="BC14" s="701" t="n"/>
      <c r="BD14" s="701" t="n"/>
      <c r="BE14" s="701" t="n"/>
      <c r="BF14" s="701" t="n"/>
      <c r="BG14" s="701" t="n"/>
      <c r="BH14" s="701" t="n"/>
      <c r="BI14" s="701" t="n"/>
      <c r="BJ14" s="701" t="n"/>
      <c r="BK14" s="701" t="n"/>
      <c r="BL14" s="701" t="n"/>
      <c r="BM14" s="701" t="n"/>
      <c r="BN14" s="701" t="n"/>
      <c r="BO14" s="701" t="n"/>
      <c r="BP14" s="701" t="n"/>
      <c r="BQ14" s="701" t="n"/>
    </row>
    <row r="15">
      <c r="A15" s="696" t="inlineStr">
        <is>
          <t>Current Liabilities</t>
        </is>
      </c>
      <c r="C15" s="701" t="n"/>
      <c r="D15" s="701" t="n"/>
      <c r="E15" s="701" t="n"/>
      <c r="F15" s="701" t="n"/>
      <c r="G15" s="701" t="n"/>
      <c r="H15" s="701" t="n"/>
      <c r="I15" s="701" t="n"/>
      <c r="J15" s="701" t="n"/>
      <c r="K15" s="701" t="n"/>
      <c r="L15" s="701" t="n"/>
      <c r="M15" s="701" t="n"/>
      <c r="N15" s="701" t="n"/>
      <c r="O15" s="701" t="n"/>
      <c r="R15" s="701" t="n"/>
      <c r="S15" s="701" t="n"/>
      <c r="T15" s="701" t="n"/>
      <c r="U15" s="701" t="n"/>
      <c r="V15" s="701" t="n"/>
      <c r="W15" s="701" t="n"/>
      <c r="X15" s="701" t="n"/>
      <c r="Y15" s="701" t="n"/>
      <c r="Z15" s="701" t="n"/>
      <c r="AA15" s="701" t="n"/>
      <c r="AB15" s="701" t="n"/>
      <c r="AC15" s="701" t="n"/>
      <c r="AF15" s="701" t="n"/>
      <c r="AG15" s="701" t="n"/>
      <c r="AH15" s="701" t="n"/>
      <c r="AI15" s="701" t="n"/>
      <c r="AJ15" s="701" t="n"/>
      <c r="AK15" s="701" t="n"/>
      <c r="AL15" s="701" t="n"/>
      <c r="AM15" s="701" t="n"/>
      <c r="AN15" s="701" t="n"/>
      <c r="AO15" s="701" t="n"/>
      <c r="AP15" s="701" t="n"/>
      <c r="AQ15" s="701" t="n"/>
      <c r="AR15" s="701" t="n"/>
      <c r="AS15" s="701" t="n"/>
      <c r="AT15" s="701" t="n"/>
      <c r="AU15" s="701" t="n"/>
      <c r="AV15" s="701" t="n"/>
      <c r="AW15" s="701" t="n"/>
      <c r="AX15" s="701" t="n"/>
      <c r="AY15" s="701" t="n"/>
      <c r="AZ15" s="701" t="n"/>
      <c r="BA15" s="701" t="n"/>
      <c r="BB15" s="701" t="n"/>
      <c r="BC15" s="701" t="n"/>
      <c r="BD15" s="701" t="n"/>
      <c r="BE15" s="701" t="n"/>
      <c r="BF15" s="701" t="n"/>
      <c r="BG15" s="701" t="n"/>
      <c r="BH15" s="701" t="n"/>
      <c r="BI15" s="701" t="n"/>
      <c r="BJ15" s="701" t="n"/>
      <c r="BK15" s="701" t="n"/>
      <c r="BL15" s="701" t="n"/>
      <c r="BM15" s="701" t="n"/>
      <c r="BN15" s="701" t="n"/>
      <c r="BO15" s="701" t="n"/>
      <c r="BP15" s="701" t="n"/>
      <c r="BQ15" s="701" t="n"/>
    </row>
    <row r="16">
      <c r="A16" s="696" t="n"/>
      <c r="B16" s="697" t="inlineStr">
        <is>
          <t>Short Term Loan</t>
        </is>
      </c>
      <c r="C16" s="698">
        <f>SUMIF('TB Mnthly'!$A:$A,'BS Mnthly'!$B16,'TB Mnthly'!C:C)</f>
        <v/>
      </c>
      <c r="D16" s="698">
        <f>SUMIF('TB Mnthly'!$A:$A,'BS Mnthly'!$B16,'TB Mnthly'!D:D)</f>
        <v/>
      </c>
      <c r="E16" s="698">
        <f>SUMIF('TB Mnthly'!$A:$A,'BS Mnthly'!$B16,'TB Mnthly'!E:E)</f>
        <v/>
      </c>
      <c r="F16" s="698">
        <f>SUMIF('TB Mnthly'!$A:$A,'BS Mnthly'!$B16,'TB Mnthly'!F:F)</f>
        <v/>
      </c>
      <c r="G16" s="698">
        <f>SUMIF('TB Mnthly'!$A:$A,'BS Mnthly'!$B16,'TB Mnthly'!G:G)</f>
        <v/>
      </c>
      <c r="H16" s="698">
        <f>SUMIF('TB Mnthly'!$A:$A,'BS Mnthly'!$B16,'TB Mnthly'!H:H)</f>
        <v/>
      </c>
      <c r="I16" s="698">
        <f>SUMIF('TB Mnthly'!$A:$A,'BS Mnthly'!$B16,'TB Mnthly'!I:I)</f>
        <v/>
      </c>
      <c r="J16" s="698">
        <f>SUMIF('TB Mnthly'!$A:$A,'BS Mnthly'!$B16,'TB Mnthly'!J:J)</f>
        <v/>
      </c>
      <c r="K16" s="698">
        <f>SUMIF('TB Mnthly'!$A:$A,'BS Mnthly'!$B16,'TB Mnthly'!K:K)</f>
        <v/>
      </c>
      <c r="L16" s="698">
        <f>SUMIF('TB Mnthly'!$A:$A,'BS Mnthly'!$B16,'TB Mnthly'!L:L)</f>
        <v/>
      </c>
      <c r="M16" s="698">
        <f>SUMIF('TB Mnthly'!$A:$A,'BS Mnthly'!$B16,'TB Mnthly'!M:M)</f>
        <v/>
      </c>
      <c r="N16" s="698">
        <f>SUMIF('TB Mnthly'!$A:$A,'BS Mnthly'!$B16,'TB Mnthly'!N:N)</f>
        <v/>
      </c>
      <c r="O16" s="698">
        <f>SUMIF('TB Mnthly'!$A:$A,'BS Mnthly'!$B16,'TB Mnthly'!O:O)</f>
        <v/>
      </c>
      <c r="R16" s="698">
        <f>SUMIF('TB Mnthly'!$A:$A,'BS Mnthly'!$B16,'TB Mnthly'!R:R)</f>
        <v/>
      </c>
      <c r="S16" s="698">
        <f>SUMIF('TB Mnthly'!$A:$A,'BS Mnthly'!$B16,'TB Mnthly'!S:S)</f>
        <v/>
      </c>
      <c r="T16" s="698">
        <f>SUMIF('TB Mnthly'!$A:$A,'BS Mnthly'!$B16,'TB Mnthly'!T:T)</f>
        <v/>
      </c>
      <c r="U16" s="698">
        <f>SUMIF('TB Mnthly'!$A:$A,'BS Mnthly'!$B16,'TB Mnthly'!U:U)</f>
        <v/>
      </c>
      <c r="V16" s="698">
        <f>SUMIF('TB Mnthly'!$A:$A,'BS Mnthly'!$B16,'TB Mnthly'!V:V)</f>
        <v/>
      </c>
      <c r="W16" s="698">
        <f>SUMIF('TB Mnthly'!$A:$A,'BS Mnthly'!$B16,'TB Mnthly'!W:W)</f>
        <v/>
      </c>
      <c r="X16" s="698">
        <f>SUMIF('TB Mnthly'!$A:$A,'BS Mnthly'!$B16,'TB Mnthly'!X:X)</f>
        <v/>
      </c>
      <c r="Y16" s="698">
        <f>SUMIF('TB Mnthly'!$A:$A,'BS Mnthly'!$B16,'TB Mnthly'!Y:Y)</f>
        <v/>
      </c>
      <c r="Z16" s="698">
        <f>SUMIF('TB Mnthly'!$A:$A,'BS Mnthly'!$B16,'TB Mnthly'!Z:Z)</f>
        <v/>
      </c>
      <c r="AA16" s="698">
        <f>SUMIF('TB Mnthly'!$A:$A,'BS Mnthly'!$B16,'TB Mnthly'!AA:AA)</f>
        <v/>
      </c>
      <c r="AB16" s="698">
        <f>SUMIF('TB Mnthly'!$A:$A,'BS Mnthly'!$B16,'TB Mnthly'!AB:AB)</f>
        <v/>
      </c>
      <c r="AC16" s="698">
        <f>SUMIF('TB Mnthly'!$A:$A,'BS Mnthly'!$B16,'TB Mnthly'!AC:AC)</f>
        <v/>
      </c>
      <c r="AF16" s="698">
        <f>SUMIF('TB Mnthly'!$A:$A,'BS Mnthly'!$B16,'TB Mnthly'!AF:AF)</f>
        <v/>
      </c>
      <c r="AG16" s="698">
        <f>SUMIF('TB Mnthly'!$A:$A,'BS Mnthly'!$B16,'TB Mnthly'!AG:AG)</f>
        <v/>
      </c>
      <c r="AH16" s="698">
        <f>SUMIF('TB Mnthly'!$A:$A,'BS Mnthly'!$B16,'TB Mnthly'!AH:AH)</f>
        <v/>
      </c>
      <c r="AI16" s="698">
        <f>SUMIF('TB Mnthly'!$A:$A,'BS Mnthly'!$B16,'TB Mnthly'!AI:AI)</f>
        <v/>
      </c>
      <c r="AJ16" s="698">
        <f>SUMIF('TB Mnthly'!$A:$A,'BS Mnthly'!$B16,'TB Mnthly'!AJ:AJ)</f>
        <v/>
      </c>
      <c r="AK16" s="698">
        <f>SUMIF('TB Mnthly'!$A:$A,'BS Mnthly'!$B16,'TB Mnthly'!AK:AK)</f>
        <v/>
      </c>
      <c r="AL16" s="698">
        <f>SUMIF('TB Mnthly'!$A:$A,'BS Mnthly'!$B16,'TB Mnthly'!AL:AL)</f>
        <v/>
      </c>
      <c r="AM16" s="698">
        <f>SUMIF('TB Mnthly'!$A:$A,'BS Mnthly'!$B16,'TB Mnthly'!AM:AM)</f>
        <v/>
      </c>
      <c r="AN16" s="698">
        <f>SUMIF('TB Mnthly'!$A:$A,'BS Mnthly'!$B16,'TB Mnthly'!AN:AN)</f>
        <v/>
      </c>
      <c r="AO16" s="698">
        <f>SUMIF('TB Mnthly'!$A:$A,'BS Mnthly'!$B16,'TB Mnthly'!AO:AO)</f>
        <v/>
      </c>
      <c r="AP16" s="698">
        <f>SUMIF('TB Mnthly'!$A:$A,'BS Mnthly'!$B16,'TB Mnthly'!AP:AP)</f>
        <v/>
      </c>
      <c r="AQ16" s="698">
        <f>SUMIF('TB Mnthly'!$A:$A,'BS Mnthly'!$B16,'TB Mnthly'!AQ:AQ)</f>
        <v/>
      </c>
      <c r="AR16" s="698" t="n"/>
      <c r="AS16" s="698">
        <f>SUMIF('TB Mnthly'!$A:$A,'BS Mnthly'!$B16,'TB Mnthly'!AT:AT)</f>
        <v/>
      </c>
      <c r="AT16" s="698">
        <f>SUMIF('TB Mnthly'!$A:$A,'BS Mnthly'!$B16,'TB Mnthly'!AU:AU)</f>
        <v/>
      </c>
      <c r="AU16" s="698">
        <f>SUMIF('TB Mnthly'!$A:$A,'BS Mnthly'!$B16,'TB Mnthly'!AV:AV)</f>
        <v/>
      </c>
      <c r="AV16" s="698">
        <f>SUMIF('TB Mnthly'!$A:$A,'BS Mnthly'!$B16,'TB Mnthly'!AW:AW)</f>
        <v/>
      </c>
      <c r="AW16" s="698">
        <f>SUMIF('TB Mnthly'!$A:$A,'BS Mnthly'!$B16,'TB Mnthly'!AX:AX)</f>
        <v/>
      </c>
      <c r="AX16" s="698">
        <f>SUMIF('TB Mnthly'!$A:$A,'BS Mnthly'!$B16,'TB Mnthly'!AY:AY)</f>
        <v/>
      </c>
      <c r="AY16" s="698">
        <f>SUMIF('TB Mnthly'!$A:$A,'BS Mnthly'!$B16,'TB Mnthly'!AZ:AZ)</f>
        <v/>
      </c>
      <c r="AZ16" s="698">
        <f>SUMIF('TB Mnthly'!$A:$A,'BS Mnthly'!$B16,'TB Mnthly'!BA:BA)</f>
        <v/>
      </c>
      <c r="BA16" s="698">
        <f>SUMIF('TB Mnthly'!$A:$A,'BS Mnthly'!$B16,'TB Mnthly'!BB:BB)</f>
        <v/>
      </c>
      <c r="BB16" s="698">
        <f>SUMIF('TB Mnthly'!$A:$A,'BS Mnthly'!$B16,'TB Mnthly'!BC:BC)</f>
        <v/>
      </c>
      <c r="BC16" s="698">
        <f>SUMIF('TB Mnthly'!$A:$A,'BS Mnthly'!$B16,'TB Mnthly'!BD:BD)</f>
        <v/>
      </c>
      <c r="BD16" s="698">
        <f>SUMIF('TB Mnthly'!$A:$A,'BS Mnthly'!$B16,'TB Mnthly'!BE:BE)</f>
        <v/>
      </c>
      <c r="BE16" s="698" t="n"/>
      <c r="BF16" s="698">
        <f>SUMIF('TB Mnthly'!$A:$A,'BS Mnthly'!$B16,'TB Mnthly'!BH:BH)</f>
        <v/>
      </c>
      <c r="BG16" s="698">
        <f>SUMIF('TB Mnthly'!$A:$A,'BS Mnthly'!$B16,'TB Mnthly'!BI:BI)</f>
        <v/>
      </c>
      <c r="BH16" s="698">
        <f>SUMIF('TB Mnthly'!$A:$A,'BS Mnthly'!$B16,'TB Mnthly'!BJ:BJ)</f>
        <v/>
      </c>
      <c r="BI16" s="698">
        <f>SUMIF('TB Mnthly'!$A:$A,'BS Mnthly'!$B16,'TB Mnthly'!BK:BK)</f>
        <v/>
      </c>
      <c r="BJ16" s="698">
        <f>SUMIF('TB Mnthly'!$A:$A,'BS Mnthly'!$B16,'TB Mnthly'!BL:BL)</f>
        <v/>
      </c>
      <c r="BK16" s="698">
        <f>SUMIF('TB Mnthly'!$A:$A,'BS Mnthly'!$B16,'TB Mnthly'!BM:BM)</f>
        <v/>
      </c>
      <c r="BL16" s="698">
        <f>SUMIF('TB Mnthly'!$A:$A,'BS Mnthly'!$B16,'TB Mnthly'!BN:BN)</f>
        <v/>
      </c>
      <c r="BM16" s="698">
        <f>SUMIF('TB Mnthly'!$A:$A,'BS Mnthly'!$B16,'TB Mnthly'!BO:BO)</f>
        <v/>
      </c>
      <c r="BN16" s="698">
        <f>SUMIF('TB Mnthly'!$A:$A,'BS Mnthly'!$B16,'TB Mnthly'!BP:BP)</f>
        <v/>
      </c>
      <c r="BO16" s="698">
        <f>SUMIF('TB Mnthly'!$A:$A,'BS Mnthly'!$B16,'TB Mnthly'!BQ:BQ)</f>
        <v/>
      </c>
      <c r="BP16" s="698">
        <f>SUMIF('TB Mnthly'!$A:$A,'BS Mnthly'!$B16,'TB Mnthly'!BR:BR)</f>
        <v/>
      </c>
      <c r="BQ16" s="698">
        <f>SUMIF('TB Mnthly'!$A:$A,'BS Mnthly'!$B16,'TB Mnthly'!BS:BS)</f>
        <v/>
      </c>
    </row>
    <row r="17">
      <c r="A17" s="696" t="n"/>
      <c r="C17" s="701" t="n"/>
      <c r="D17" s="701" t="n"/>
      <c r="E17" s="701" t="n"/>
      <c r="F17" s="701" t="n"/>
      <c r="G17" s="701" t="n"/>
      <c r="H17" s="701" t="n"/>
      <c r="I17" s="701" t="n"/>
      <c r="J17" s="701" t="n"/>
      <c r="K17" s="701" t="n"/>
      <c r="L17" s="701" t="n"/>
      <c r="M17" s="701" t="n"/>
      <c r="N17" s="701" t="n"/>
      <c r="O17" s="701" t="n"/>
      <c r="R17" s="701" t="n"/>
      <c r="S17" s="701" t="n"/>
      <c r="T17" s="701" t="n"/>
      <c r="U17" s="701" t="n"/>
      <c r="V17" s="701" t="n"/>
      <c r="W17" s="701" t="n"/>
      <c r="X17" s="701" t="n"/>
      <c r="Y17" s="701" t="n"/>
      <c r="Z17" s="701" t="n"/>
      <c r="AA17" s="701" t="n"/>
      <c r="AB17" s="701" t="n"/>
      <c r="AC17" s="701" t="n"/>
      <c r="AF17" s="701" t="n"/>
      <c r="AG17" s="701" t="n"/>
      <c r="AH17" s="701" t="n"/>
      <c r="AI17" s="701" t="n"/>
      <c r="AJ17" s="701" t="n"/>
      <c r="AK17" s="701" t="n"/>
      <c r="AL17" s="701" t="n"/>
      <c r="AM17" s="701" t="n"/>
      <c r="AN17" s="701" t="n"/>
      <c r="AO17" s="701" t="n"/>
      <c r="AP17" s="701" t="n"/>
      <c r="AQ17" s="701" t="n"/>
      <c r="AR17" s="701" t="n"/>
      <c r="AS17" s="701" t="n"/>
      <c r="AT17" s="701" t="n"/>
      <c r="AU17" s="701" t="n"/>
      <c r="AV17" s="701" t="n"/>
      <c r="AW17" s="701" t="n"/>
      <c r="AX17" s="701" t="n"/>
      <c r="AY17" s="701" t="n"/>
      <c r="AZ17" s="701" t="n"/>
      <c r="BA17" s="701" t="n"/>
      <c r="BB17" s="701" t="n"/>
      <c r="BC17" s="701" t="n"/>
      <c r="BD17" s="701" t="n"/>
      <c r="BE17" s="701" t="n"/>
      <c r="BF17" s="701" t="n"/>
      <c r="BG17" s="701" t="n"/>
      <c r="BH17" s="701" t="n"/>
      <c r="BI17" s="701" t="n"/>
      <c r="BJ17" s="701" t="n"/>
      <c r="BK17" s="701" t="n"/>
      <c r="BL17" s="701" t="n"/>
      <c r="BM17" s="701" t="n"/>
      <c r="BN17" s="701" t="n"/>
      <c r="BO17" s="701" t="n"/>
      <c r="BP17" s="701" t="n"/>
      <c r="BQ17" s="701" t="n"/>
    </row>
    <row r="18">
      <c r="A18" s="696" t="n"/>
      <c r="B18" s="14" t="inlineStr">
        <is>
          <t>Net Current Assets</t>
        </is>
      </c>
      <c r="C18" s="698">
        <f>C13+C16</f>
        <v/>
      </c>
      <c r="D18" s="698">
        <f>D13+D16</f>
        <v/>
      </c>
      <c r="E18" s="698">
        <f>E13+E16</f>
        <v/>
      </c>
      <c r="F18" s="698">
        <f>F13+F16</f>
        <v/>
      </c>
      <c r="G18" s="698">
        <f>G13+G16</f>
        <v/>
      </c>
      <c r="H18" s="698">
        <f>H13+H16</f>
        <v/>
      </c>
      <c r="I18" s="698">
        <f>I13+I16</f>
        <v/>
      </c>
      <c r="J18" s="698">
        <f>J13+J16</f>
        <v/>
      </c>
      <c r="K18" s="698">
        <f>K13+K16</f>
        <v/>
      </c>
      <c r="L18" s="698">
        <f>L13+L16</f>
        <v/>
      </c>
      <c r="M18" s="698">
        <f>M13+M16</f>
        <v/>
      </c>
      <c r="N18" s="698">
        <f>N13+N16</f>
        <v/>
      </c>
      <c r="O18" s="698">
        <f>O13+O16</f>
        <v/>
      </c>
      <c r="R18" s="698">
        <f>R13+R16</f>
        <v/>
      </c>
      <c r="S18" s="698">
        <f>S13+S16</f>
        <v/>
      </c>
      <c r="T18" s="698">
        <f>T13+T16</f>
        <v/>
      </c>
      <c r="U18" s="698">
        <f>U13+U16</f>
        <v/>
      </c>
      <c r="V18" s="698">
        <f>V13+V16</f>
        <v/>
      </c>
      <c r="W18" s="698">
        <f>W13+W16</f>
        <v/>
      </c>
      <c r="X18" s="698">
        <f>X13+X16</f>
        <v/>
      </c>
      <c r="Y18" s="698">
        <f>Y13+Y16</f>
        <v/>
      </c>
      <c r="Z18" s="698">
        <f>Z13+Z16</f>
        <v/>
      </c>
      <c r="AA18" s="698">
        <f>AA13+AA16</f>
        <v/>
      </c>
      <c r="AB18" s="698">
        <f>AB13+AB16</f>
        <v/>
      </c>
      <c r="AC18" s="698">
        <f>AC13+AC16</f>
        <v/>
      </c>
      <c r="AF18" s="698">
        <f>AF13+AF16</f>
        <v/>
      </c>
      <c r="AG18" s="698">
        <f>AG13+AG16</f>
        <v/>
      </c>
      <c r="AH18" s="698">
        <f>AH13+AH16</f>
        <v/>
      </c>
      <c r="AI18" s="698">
        <f>AI13+AI16</f>
        <v/>
      </c>
      <c r="AJ18" s="698">
        <f>AJ13+AJ16</f>
        <v/>
      </c>
      <c r="AK18" s="698">
        <f>AK13+AK16</f>
        <v/>
      </c>
      <c r="AL18" s="698">
        <f>AL13+AL16</f>
        <v/>
      </c>
      <c r="AM18" s="698">
        <f>AM13+AM16</f>
        <v/>
      </c>
      <c r="AN18" s="698">
        <f>AN13+AN16</f>
        <v/>
      </c>
      <c r="AO18" s="698">
        <f>AO13+AO16</f>
        <v/>
      </c>
      <c r="AP18" s="698">
        <f>AP13+AP16</f>
        <v/>
      </c>
      <c r="AQ18" s="698">
        <f>AQ13+AQ16</f>
        <v/>
      </c>
      <c r="AR18" s="698" t="n"/>
      <c r="AS18" s="698">
        <f>AS13+AS16</f>
        <v/>
      </c>
      <c r="AT18" s="698">
        <f>AT13+AT16</f>
        <v/>
      </c>
      <c r="AU18" s="698">
        <f>AU13+AU16</f>
        <v/>
      </c>
      <c r="AV18" s="698">
        <f>AV13+AV16</f>
        <v/>
      </c>
      <c r="AW18" s="698">
        <f>AW13+AW16</f>
        <v/>
      </c>
      <c r="AX18" s="698">
        <f>AX13+AX16</f>
        <v/>
      </c>
      <c r="AY18" s="698">
        <f>AY13+AY16</f>
        <v/>
      </c>
      <c r="AZ18" s="698">
        <f>AZ13+AZ16</f>
        <v/>
      </c>
      <c r="BA18" s="698">
        <f>BA13+BA16</f>
        <v/>
      </c>
      <c r="BB18" s="698">
        <f>BB13+BB16</f>
        <v/>
      </c>
      <c r="BC18" s="698">
        <f>BC13+BC16</f>
        <v/>
      </c>
      <c r="BD18" s="698">
        <f>BD13+BD16</f>
        <v/>
      </c>
      <c r="BE18" s="698" t="n"/>
      <c r="BF18" s="698">
        <f>BF13+BF16</f>
        <v/>
      </c>
      <c r="BG18" s="698">
        <f>BG13+BG16</f>
        <v/>
      </c>
      <c r="BH18" s="698">
        <f>BH13+BH16</f>
        <v/>
      </c>
      <c r="BI18" s="698">
        <f>BI13+BI16</f>
        <v/>
      </c>
      <c r="BJ18" s="698">
        <f>BJ13+BJ16</f>
        <v/>
      </c>
      <c r="BK18" s="698">
        <f>BK13+BK16</f>
        <v/>
      </c>
      <c r="BL18" s="698">
        <f>BL13+BL16</f>
        <v/>
      </c>
      <c r="BM18" s="698">
        <f>BM13+BM16</f>
        <v/>
      </c>
      <c r="BN18" s="698">
        <f>BN13+BN16</f>
        <v/>
      </c>
      <c r="BO18" s="698">
        <f>BO13+BO16</f>
        <v/>
      </c>
      <c r="BP18" s="698">
        <f>BP13+BP16</f>
        <v/>
      </c>
      <c r="BQ18" s="698">
        <f>BQ13+BQ16</f>
        <v/>
      </c>
    </row>
    <row r="19">
      <c r="A19" s="696" t="n"/>
      <c r="C19" s="701" t="n"/>
      <c r="D19" s="701" t="n"/>
      <c r="E19" s="701" t="n"/>
      <c r="F19" s="701" t="n"/>
      <c r="G19" s="701" t="n"/>
      <c r="H19" s="701" t="n"/>
      <c r="I19" s="701" t="n"/>
      <c r="J19" s="701" t="n"/>
      <c r="K19" s="701" t="n"/>
      <c r="L19" s="701" t="n"/>
      <c r="M19" s="701" t="n"/>
      <c r="N19" s="701" t="n"/>
      <c r="O19" s="701" t="n"/>
      <c r="R19" s="701" t="n"/>
      <c r="S19" s="701" t="n"/>
      <c r="T19" s="701" t="n"/>
      <c r="U19" s="701" t="n"/>
      <c r="V19" s="701" t="n"/>
      <c r="W19" s="701" t="n"/>
      <c r="X19" s="701" t="n"/>
      <c r="Y19" s="701" t="n"/>
      <c r="Z19" s="701" t="n"/>
      <c r="AA19" s="701" t="n"/>
      <c r="AB19" s="701" t="n"/>
      <c r="AC19" s="701" t="n"/>
      <c r="AF19" s="701" t="n"/>
      <c r="AG19" s="701" t="n"/>
      <c r="AH19" s="701" t="n"/>
      <c r="AI19" s="701" t="n"/>
      <c r="AJ19" s="701" t="n"/>
      <c r="AK19" s="701" t="n"/>
      <c r="AL19" s="701" t="n"/>
      <c r="AM19" s="701" t="n"/>
      <c r="AN19" s="701" t="n"/>
      <c r="AO19" s="701" t="n"/>
      <c r="AP19" s="701" t="n"/>
      <c r="AQ19" s="701" t="n"/>
      <c r="AR19" s="701" t="n"/>
      <c r="AS19" s="701" t="n"/>
      <c r="AT19" s="701" t="n"/>
      <c r="AU19" s="701" t="n"/>
      <c r="AV19" s="701" t="n"/>
      <c r="AW19" s="701" t="n"/>
      <c r="AX19" s="701" t="n"/>
      <c r="AY19" s="701" t="n"/>
      <c r="AZ19" s="701" t="n"/>
      <c r="BA19" s="701" t="n"/>
      <c r="BB19" s="701" t="n"/>
      <c r="BC19" s="701" t="n"/>
      <c r="BD19" s="701" t="n"/>
      <c r="BE19" s="701" t="n"/>
      <c r="BF19" s="701" t="n"/>
      <c r="BG19" s="701" t="n"/>
      <c r="BH19" s="701" t="n"/>
      <c r="BI19" s="701" t="n"/>
      <c r="BJ19" s="701" t="n"/>
      <c r="BK19" s="701" t="n"/>
      <c r="BL19" s="701" t="n"/>
      <c r="BM19" s="701" t="n"/>
      <c r="BN19" s="701" t="n"/>
      <c r="BO19" s="701" t="n"/>
      <c r="BP19" s="701" t="n"/>
      <c r="BQ19" s="701" t="n"/>
    </row>
    <row r="20" ht="13.5" customHeight="1" thickBot="1">
      <c r="A20" s="696" t="inlineStr">
        <is>
          <t>Net Assets</t>
        </is>
      </c>
      <c r="C20" s="706">
        <f>C9+C18</f>
        <v/>
      </c>
      <c r="D20" s="706">
        <f>D9+D18</f>
        <v/>
      </c>
      <c r="E20" s="706">
        <f>E9+E18</f>
        <v/>
      </c>
      <c r="F20" s="706">
        <f>F9+F18</f>
        <v/>
      </c>
      <c r="G20" s="706">
        <f>G9+G18</f>
        <v/>
      </c>
      <c r="H20" s="706">
        <f>H9+H18</f>
        <v/>
      </c>
      <c r="I20" s="706">
        <f>I9+I18</f>
        <v/>
      </c>
      <c r="J20" s="706">
        <f>J9+J18</f>
        <v/>
      </c>
      <c r="K20" s="706">
        <f>K9+K18</f>
        <v/>
      </c>
      <c r="L20" s="706">
        <f>L9+L18</f>
        <v/>
      </c>
      <c r="M20" s="706">
        <f>M9+M18</f>
        <v/>
      </c>
      <c r="N20" s="706">
        <f>N9+N18</f>
        <v/>
      </c>
      <c r="O20" s="706">
        <f>O9+O18</f>
        <v/>
      </c>
      <c r="R20" s="706">
        <f>R9+R18</f>
        <v/>
      </c>
      <c r="S20" s="706">
        <f>S9+S18</f>
        <v/>
      </c>
      <c r="T20" s="706">
        <f>T9+T18</f>
        <v/>
      </c>
      <c r="U20" s="706">
        <f>U9+U18</f>
        <v/>
      </c>
      <c r="V20" s="706">
        <f>V9+V18</f>
        <v/>
      </c>
      <c r="W20" s="706">
        <f>W9+W18</f>
        <v/>
      </c>
      <c r="X20" s="706">
        <f>X9+X18</f>
        <v/>
      </c>
      <c r="Y20" s="706">
        <f>Y9+Y18</f>
        <v/>
      </c>
      <c r="Z20" s="706">
        <f>Z9+Z18</f>
        <v/>
      </c>
      <c r="AA20" s="706">
        <f>AA9+AA18</f>
        <v/>
      </c>
      <c r="AB20" s="706">
        <f>AB9+AB18</f>
        <v/>
      </c>
      <c r="AC20" s="706">
        <f>AC9+AC18</f>
        <v/>
      </c>
      <c r="AF20" s="706">
        <f>AF9+AF18</f>
        <v/>
      </c>
      <c r="AG20" s="706">
        <f>AG9+AG18</f>
        <v/>
      </c>
      <c r="AH20" s="706">
        <f>AH9+AH18</f>
        <v/>
      </c>
      <c r="AI20" s="706">
        <f>AI9+AI18</f>
        <v/>
      </c>
      <c r="AJ20" s="706">
        <f>AJ9+AJ18</f>
        <v/>
      </c>
      <c r="AK20" s="706">
        <f>AK9+AK18</f>
        <v/>
      </c>
      <c r="AL20" s="706">
        <f>AL9+AL18</f>
        <v/>
      </c>
      <c r="AM20" s="706">
        <f>AM9+AM18</f>
        <v/>
      </c>
      <c r="AN20" s="706">
        <f>AN9+AN18</f>
        <v/>
      </c>
      <c r="AO20" s="706">
        <f>AO9+AO18</f>
        <v/>
      </c>
      <c r="AP20" s="706">
        <f>AP9+AP18</f>
        <v/>
      </c>
      <c r="AQ20" s="706">
        <f>AQ9+AQ18</f>
        <v/>
      </c>
      <c r="AR20" s="706" t="n"/>
      <c r="AS20" s="706">
        <f>AS9+AS18</f>
        <v/>
      </c>
      <c r="AT20" s="706">
        <f>AT9+AT18</f>
        <v/>
      </c>
      <c r="AU20" s="706">
        <f>AU9+AU18</f>
        <v/>
      </c>
      <c r="AV20" s="706">
        <f>AV9+AV18</f>
        <v/>
      </c>
      <c r="AW20" s="706">
        <f>AW9+AW18</f>
        <v/>
      </c>
      <c r="AX20" s="706">
        <f>AX9+AX18</f>
        <v/>
      </c>
      <c r="AY20" s="706">
        <f>AY9+AY18</f>
        <v/>
      </c>
      <c r="AZ20" s="706">
        <f>AZ9+AZ18</f>
        <v/>
      </c>
      <c r="BA20" s="706">
        <f>BA9+BA18</f>
        <v/>
      </c>
      <c r="BB20" s="706">
        <f>BB9+BB18</f>
        <v/>
      </c>
      <c r="BC20" s="706">
        <f>BC9+BC18</f>
        <v/>
      </c>
      <c r="BD20" s="706">
        <f>BD9+BD18</f>
        <v/>
      </c>
      <c r="BE20" s="706" t="n"/>
      <c r="BF20" s="706">
        <f>BF9+BF18</f>
        <v/>
      </c>
      <c r="BG20" s="706">
        <f>BG9+BG18</f>
        <v/>
      </c>
      <c r="BH20" s="706">
        <f>BH9+BH18</f>
        <v/>
      </c>
      <c r="BI20" s="706">
        <f>BI9+BI18</f>
        <v/>
      </c>
      <c r="BJ20" s="706">
        <f>BJ9+BJ18</f>
        <v/>
      </c>
      <c r="BK20" s="706">
        <f>BK9+BK18</f>
        <v/>
      </c>
      <c r="BL20" s="706">
        <f>BL9+BL18</f>
        <v/>
      </c>
      <c r="BM20" s="706">
        <f>BM9+BM18</f>
        <v/>
      </c>
      <c r="BN20" s="706">
        <f>BN9+BN18</f>
        <v/>
      </c>
      <c r="BO20" s="706">
        <f>BO9+BO18</f>
        <v/>
      </c>
      <c r="BP20" s="706">
        <f>BP9+BP18</f>
        <v/>
      </c>
      <c r="BQ20" s="706">
        <f>BQ9+BQ18</f>
        <v/>
      </c>
    </row>
    <row r="21" ht="13.5" customHeight="1" thickTop="1">
      <c r="A21" s="696" t="n"/>
      <c r="R21" s="701" t="n"/>
      <c r="S21" s="701" t="n"/>
      <c r="T21" s="701" t="n"/>
      <c r="U21" s="701" t="n"/>
      <c r="V21" s="701" t="n"/>
      <c r="W21" s="701" t="n"/>
      <c r="X21" s="701" t="n"/>
      <c r="Y21" s="701" t="n"/>
      <c r="Z21" s="701" t="n"/>
      <c r="AA21" s="701" t="n"/>
      <c r="AB21" s="701" t="n"/>
      <c r="AC21" s="701" t="n"/>
      <c r="AF21" s="701" t="n"/>
      <c r="AG21" s="701" t="n"/>
      <c r="AH21" s="701" t="n"/>
      <c r="AI21" s="701" t="n"/>
      <c r="AJ21" s="701" t="n"/>
      <c r="AK21" s="701" t="n"/>
      <c r="AL21" s="701" t="n"/>
      <c r="AM21" s="701" t="n"/>
      <c r="AN21" s="701" t="n"/>
      <c r="AO21" s="701" t="n"/>
      <c r="AP21" s="701" t="n"/>
      <c r="AQ21" s="701" t="n"/>
      <c r="AR21" s="701" t="n"/>
      <c r="AS21" s="701" t="n"/>
      <c r="AT21" s="701" t="n"/>
      <c r="AU21" s="701" t="n"/>
      <c r="AV21" s="701" t="n"/>
      <c r="AW21" s="701" t="n"/>
      <c r="AX21" s="701" t="n"/>
      <c r="AY21" s="701" t="n"/>
      <c r="AZ21" s="701" t="n"/>
      <c r="BA21" s="701" t="n"/>
      <c r="BB21" s="701" t="n"/>
      <c r="BC21" s="701" t="n"/>
      <c r="BD21" s="701" t="n"/>
      <c r="BE21" s="701" t="n"/>
      <c r="BF21" s="701" t="n"/>
      <c r="BG21" s="701" t="n"/>
      <c r="BH21" s="701" t="n"/>
      <c r="BI21" s="701" t="n"/>
      <c r="BJ21" s="701" t="n"/>
      <c r="BK21" s="701" t="n"/>
      <c r="BL21" s="701" t="n"/>
      <c r="BM21" s="701" t="n"/>
      <c r="BN21" s="701" t="n"/>
      <c r="BO21" s="701" t="n"/>
      <c r="BP21" s="701" t="n"/>
      <c r="BQ21" s="701" t="n"/>
    </row>
    <row r="22">
      <c r="A22" s="696" t="n"/>
      <c r="R22" s="701" t="n"/>
      <c r="S22" s="701" t="n"/>
      <c r="T22" s="701" t="n"/>
      <c r="U22" s="701" t="n"/>
      <c r="V22" s="701" t="n"/>
      <c r="W22" s="701" t="n"/>
      <c r="X22" s="701" t="n"/>
      <c r="Y22" s="701" t="n"/>
      <c r="Z22" s="701" t="n"/>
      <c r="AA22" s="701" t="n"/>
      <c r="AB22" s="701" t="n"/>
      <c r="AC22" s="701" t="n"/>
      <c r="AF22" s="701" t="n"/>
      <c r="AG22" s="701" t="n"/>
      <c r="AH22" s="701" t="n"/>
      <c r="AI22" s="701" t="n"/>
      <c r="AJ22" s="701" t="n"/>
      <c r="AK22" s="701" t="n"/>
      <c r="AL22" s="701" t="n"/>
      <c r="AM22" s="701" t="n"/>
      <c r="AN22" s="701" t="n"/>
      <c r="AO22" s="701" t="n"/>
      <c r="AP22" s="701" t="n"/>
      <c r="AQ22" s="701" t="n"/>
      <c r="AR22" s="701" t="n"/>
      <c r="AS22" s="701" t="n"/>
      <c r="AT22" s="701" t="n"/>
      <c r="AU22" s="701" t="n"/>
      <c r="AV22" s="701" t="n"/>
      <c r="AW22" s="701" t="n"/>
      <c r="AX22" s="701" t="n"/>
      <c r="AY22" s="701" t="n"/>
      <c r="AZ22" s="701" t="n"/>
      <c r="BA22" s="701" t="n"/>
      <c r="BB22" s="701" t="n"/>
      <c r="BC22" s="701" t="n"/>
      <c r="BD22" s="701" t="n"/>
      <c r="BE22" s="701" t="n"/>
      <c r="BF22" s="701" t="n"/>
      <c r="BG22" s="701" t="n"/>
      <c r="BH22" s="701" t="n"/>
      <c r="BI22" s="701" t="n"/>
      <c r="BJ22" s="701" t="n"/>
      <c r="BK22" s="701" t="n"/>
      <c r="BL22" s="701" t="n"/>
      <c r="BM22" s="701" t="n"/>
      <c r="BN22" s="701" t="n"/>
      <c r="BO22" s="701" t="n"/>
      <c r="BP22" s="701" t="n"/>
      <c r="BQ22" s="701" t="n"/>
    </row>
    <row r="23">
      <c r="A23" s="17" t="inlineStr">
        <is>
          <t>Equity</t>
        </is>
      </c>
      <c r="R23" s="701" t="n"/>
      <c r="S23" s="701" t="n"/>
      <c r="T23" s="701" t="n"/>
      <c r="U23" s="701" t="n"/>
      <c r="V23" s="701" t="n"/>
      <c r="W23" s="701" t="n"/>
      <c r="X23" s="701" t="n"/>
      <c r="Y23" s="701" t="n"/>
      <c r="Z23" s="701" t="n"/>
      <c r="AA23" s="701" t="n"/>
      <c r="AB23" s="701" t="n"/>
      <c r="AC23" s="701" t="n"/>
      <c r="AF23" s="701" t="n"/>
      <c r="AG23" s="701" t="n"/>
      <c r="AH23" s="701" t="n"/>
      <c r="AI23" s="701" t="n"/>
      <c r="AJ23" s="701" t="n"/>
      <c r="AK23" s="701" t="n"/>
      <c r="AL23" s="701" t="n"/>
      <c r="AM23" s="701" t="n"/>
      <c r="AN23" s="701" t="n"/>
      <c r="AO23" s="701" t="n"/>
      <c r="AP23" s="701" t="n"/>
      <c r="AQ23" s="701" t="n"/>
      <c r="AR23" s="701" t="n"/>
      <c r="AS23" s="701" t="n"/>
      <c r="AT23" s="701" t="n"/>
      <c r="AU23" s="701" t="n"/>
      <c r="AV23" s="701" t="n"/>
      <c r="AW23" s="701" t="n"/>
      <c r="AX23" s="701" t="n"/>
      <c r="AY23" s="701" t="n"/>
      <c r="AZ23" s="701" t="n"/>
      <c r="BA23" s="701" t="n"/>
      <c r="BB23" s="701" t="n"/>
      <c r="BC23" s="701" t="n"/>
      <c r="BD23" s="701" t="n"/>
      <c r="BE23" s="701" t="n"/>
      <c r="BF23" s="701" t="n"/>
      <c r="BG23" s="701" t="n"/>
      <c r="BH23" s="701" t="n"/>
      <c r="BI23" s="701" t="n"/>
      <c r="BJ23" s="701" t="n"/>
      <c r="BK23" s="701" t="n"/>
      <c r="BL23" s="701" t="n"/>
      <c r="BM23" s="701" t="n"/>
      <c r="BN23" s="701" t="n"/>
      <c r="BO23" s="701" t="n"/>
      <c r="BP23" s="701" t="n"/>
      <c r="BQ23" s="701" t="n"/>
    </row>
    <row r="24">
      <c r="A24" s="696" t="n"/>
      <c r="B24" s="14" t="inlineStr">
        <is>
          <t>Share Capital</t>
        </is>
      </c>
      <c r="C24" s="698">
        <f>-SUMIF('TB Mnthly'!$A:$A,'BS Mnthly'!$B24,'TB Mnthly'!C:C)</f>
        <v/>
      </c>
      <c r="D24" s="698">
        <f>-SUMIF('TB Mnthly'!$A:$A,'BS Mnthly'!$B24,'TB Mnthly'!D:D)</f>
        <v/>
      </c>
      <c r="E24" s="698">
        <f>-SUMIF('TB Mnthly'!$A:$A,'BS Mnthly'!$B24,'TB Mnthly'!E:E)</f>
        <v/>
      </c>
      <c r="F24" s="698">
        <f>-SUMIF('TB Mnthly'!$A:$A,'BS Mnthly'!$B24,'TB Mnthly'!F:F)</f>
        <v/>
      </c>
      <c r="G24" s="698">
        <f>-SUMIF('TB Mnthly'!$A:$A,'BS Mnthly'!$B24,'TB Mnthly'!G:G)</f>
        <v/>
      </c>
      <c r="H24" s="698">
        <f>-SUMIF('TB Mnthly'!$A:$A,'BS Mnthly'!$B24,'TB Mnthly'!H:H)</f>
        <v/>
      </c>
      <c r="I24" s="698">
        <f>-SUMIF('TB Mnthly'!$A:$A,'BS Mnthly'!$B24,'TB Mnthly'!I:I)</f>
        <v/>
      </c>
      <c r="J24" s="698">
        <f>-SUMIF('TB Mnthly'!$A:$A,'BS Mnthly'!$B24,'TB Mnthly'!J:J)</f>
        <v/>
      </c>
      <c r="K24" s="698">
        <f>-SUMIF('TB Mnthly'!$A:$A,'BS Mnthly'!$B24,'TB Mnthly'!K:K)</f>
        <v/>
      </c>
      <c r="L24" s="698">
        <f>-SUMIF('TB Mnthly'!$A:$A,'BS Mnthly'!$B24,'TB Mnthly'!L:L)</f>
        <v/>
      </c>
      <c r="M24" s="698">
        <f>-SUMIF('TB Mnthly'!$A:$A,'BS Mnthly'!$B24,'TB Mnthly'!M:M)</f>
        <v/>
      </c>
      <c r="N24" s="698">
        <f>-SUMIF('TB Mnthly'!$A:$A,'BS Mnthly'!$B24,'TB Mnthly'!N:N)</f>
        <v/>
      </c>
      <c r="O24" s="698">
        <f>-SUMIF('TB Mnthly'!$A:$A,'BS Mnthly'!$B24,'TB Mnthly'!O:O)</f>
        <v/>
      </c>
      <c r="R24" s="698">
        <f>-SUMIF('TB Mnthly'!$A:$A,'BS Mnthly'!$B24,'TB Mnthly'!R:R)</f>
        <v/>
      </c>
      <c r="S24" s="698">
        <f>-SUMIF('TB Mnthly'!$A:$A,'BS Mnthly'!$B24,'TB Mnthly'!S:S)</f>
        <v/>
      </c>
      <c r="T24" s="698">
        <f>-SUMIF('TB Mnthly'!$A:$A,'BS Mnthly'!$B24,'TB Mnthly'!T:T)</f>
        <v/>
      </c>
      <c r="U24" s="698">
        <f>-SUMIF('TB Mnthly'!$A:$A,'BS Mnthly'!$B24,'TB Mnthly'!U:U)</f>
        <v/>
      </c>
      <c r="V24" s="698">
        <f>-SUMIF('TB Mnthly'!$A:$A,'BS Mnthly'!$B24,'TB Mnthly'!V:V)</f>
        <v/>
      </c>
      <c r="W24" s="698">
        <f>-SUMIF('TB Mnthly'!$A:$A,'BS Mnthly'!$B24,'TB Mnthly'!W:W)</f>
        <v/>
      </c>
      <c r="X24" s="698">
        <f>-SUMIF('TB Mnthly'!$A:$A,'BS Mnthly'!$B24,'TB Mnthly'!X:X)</f>
        <v/>
      </c>
      <c r="Y24" s="698">
        <f>-SUMIF('TB Mnthly'!$A:$A,'BS Mnthly'!$B24,'TB Mnthly'!Y:Y)</f>
        <v/>
      </c>
      <c r="Z24" s="698">
        <f>-SUMIF('TB Mnthly'!$A:$A,'BS Mnthly'!$B24,'TB Mnthly'!Z:Z)</f>
        <v/>
      </c>
      <c r="AA24" s="698">
        <f>-SUMIF('TB Mnthly'!$A:$A,'BS Mnthly'!$B24,'TB Mnthly'!AA:AA)</f>
        <v/>
      </c>
      <c r="AB24" s="698">
        <f>-SUMIF('TB Mnthly'!$A:$A,'BS Mnthly'!$B24,'TB Mnthly'!AB:AB)</f>
        <v/>
      </c>
      <c r="AC24" s="698">
        <f>-SUMIF('TB Mnthly'!$A:$A,'BS Mnthly'!$B24,'TB Mnthly'!AC:AC)</f>
        <v/>
      </c>
      <c r="AF24" s="698">
        <f>-SUMIF('TB Mnthly'!$A:$A,'BS Mnthly'!$B24,'TB Mnthly'!AF:AF)</f>
        <v/>
      </c>
      <c r="AG24" s="698">
        <f>-SUMIF('TB Mnthly'!$A:$A,'BS Mnthly'!$B24,'TB Mnthly'!AG:AG)</f>
        <v/>
      </c>
      <c r="AH24" s="698">
        <f>-SUMIF('TB Mnthly'!$A:$A,'BS Mnthly'!$B24,'TB Mnthly'!AH:AH)</f>
        <v/>
      </c>
      <c r="AI24" s="698">
        <f>-SUMIF('TB Mnthly'!$A:$A,'BS Mnthly'!$B24,'TB Mnthly'!AI:AI)</f>
        <v/>
      </c>
      <c r="AJ24" s="698">
        <f>-SUMIF('TB Mnthly'!$A:$A,'BS Mnthly'!$B24,'TB Mnthly'!AJ:AJ)</f>
        <v/>
      </c>
      <c r="AK24" s="698">
        <f>-SUMIF('TB Mnthly'!$A:$A,'BS Mnthly'!$B24,'TB Mnthly'!AK:AK)</f>
        <v/>
      </c>
      <c r="AL24" s="698">
        <f>-SUMIF('TB Mnthly'!$A:$A,'BS Mnthly'!$B24,'TB Mnthly'!AL:AL)</f>
        <v/>
      </c>
      <c r="AM24" s="698">
        <f>-SUMIF('TB Mnthly'!$A:$A,'BS Mnthly'!$B24,'TB Mnthly'!AM:AM)</f>
        <v/>
      </c>
      <c r="AN24" s="698">
        <f>-SUMIF('TB Mnthly'!$A:$A,'BS Mnthly'!$B24,'TB Mnthly'!AN:AN)</f>
        <v/>
      </c>
      <c r="AO24" s="698">
        <f>-SUMIF('TB Mnthly'!$A:$A,'BS Mnthly'!$B24,'TB Mnthly'!AO:AO)</f>
        <v/>
      </c>
      <c r="AP24" s="698">
        <f>-SUMIF('TB Mnthly'!$A:$A,'BS Mnthly'!$B24,'TB Mnthly'!AP:AP)</f>
        <v/>
      </c>
      <c r="AQ24" s="698">
        <f>-SUMIF('TB Mnthly'!$A:$A,'BS Mnthly'!$B24,'TB Mnthly'!AQ:AQ)</f>
        <v/>
      </c>
      <c r="AR24" s="698" t="n"/>
      <c r="AS24" s="698">
        <f>-SUMIF('TB Mnthly'!$A:$A,'BS Mnthly'!$B24,'TB Mnthly'!AT:AT)</f>
        <v/>
      </c>
      <c r="AT24" s="698">
        <f>-SUMIF('TB Mnthly'!$A:$A,'BS Mnthly'!$B24,'TB Mnthly'!AU:AU)</f>
        <v/>
      </c>
      <c r="AU24" s="698">
        <f>-SUMIF('TB Mnthly'!$A:$A,'BS Mnthly'!$B24,'TB Mnthly'!AV:AV)</f>
        <v/>
      </c>
      <c r="AV24" s="698">
        <f>-SUMIF('TB Mnthly'!$A:$A,'BS Mnthly'!$B24,'TB Mnthly'!AW:AW)</f>
        <v/>
      </c>
      <c r="AW24" s="698">
        <f>-SUMIF('TB Mnthly'!$A:$A,'BS Mnthly'!$B24,'TB Mnthly'!AX:AX)</f>
        <v/>
      </c>
      <c r="AX24" s="698">
        <f>-SUMIF('TB Mnthly'!$A:$A,'BS Mnthly'!$B24,'TB Mnthly'!AY:AY)</f>
        <v/>
      </c>
      <c r="AY24" s="698">
        <f>-SUMIF('TB Mnthly'!$A:$A,'BS Mnthly'!$B24,'TB Mnthly'!AZ:AZ)</f>
        <v/>
      </c>
      <c r="AZ24" s="698">
        <f>-SUMIF('TB Mnthly'!$A:$A,'BS Mnthly'!$B24,'TB Mnthly'!BA:BA)</f>
        <v/>
      </c>
      <c r="BA24" s="698">
        <f>-SUMIF('TB Mnthly'!$A:$A,'BS Mnthly'!$B24,'TB Mnthly'!BB:BB)</f>
        <v/>
      </c>
      <c r="BB24" s="698">
        <f>-SUMIF('TB Mnthly'!$A:$A,'BS Mnthly'!$B24,'TB Mnthly'!BC:BC)</f>
        <v/>
      </c>
      <c r="BC24" s="698">
        <f>-SUMIF('TB Mnthly'!$A:$A,'BS Mnthly'!$B24,'TB Mnthly'!BD:BD)</f>
        <v/>
      </c>
      <c r="BD24" s="698">
        <f>-SUMIF('TB Mnthly'!$A:$A,'BS Mnthly'!$B24,'TB Mnthly'!BE:BE)</f>
        <v/>
      </c>
      <c r="BE24" s="698" t="n"/>
      <c r="BF24" s="698">
        <f>-SUMIF('TB Mnthly'!$A:$A,'BS Mnthly'!$B24,'TB Mnthly'!BD:BD)</f>
        <v/>
      </c>
      <c r="BG24" s="698">
        <f>-SUMIF('TB Mnthly'!$A:$A,'BS Mnthly'!$B24,'TB Mnthly'!BE:BE)</f>
        <v/>
      </c>
      <c r="BH24" s="698">
        <f>-SUMIF('TB Mnthly'!$A:$A,'BS Mnthly'!$B24,'TB Mnthly'!BF:BF)</f>
        <v/>
      </c>
      <c r="BI24" s="698">
        <f>-SUMIF('TB Mnthly'!$A:$A,'BS Mnthly'!$B24,'TB Mnthly'!BG:BG)</f>
        <v/>
      </c>
      <c r="BJ24" s="698">
        <f>-SUMIF('TB Mnthly'!$A:$A,'BS Mnthly'!$B24,'TB Mnthly'!BH:BH)</f>
        <v/>
      </c>
      <c r="BK24" s="698">
        <f>-SUMIF('TB Mnthly'!$A:$A,'BS Mnthly'!$B24,'TB Mnthly'!BI:BI)</f>
        <v/>
      </c>
      <c r="BL24" s="698">
        <f>-SUMIF('TB Mnthly'!$A:$A,'BS Mnthly'!$B24,'TB Mnthly'!BJ:BJ)</f>
        <v/>
      </c>
      <c r="BM24" s="698">
        <f>-SUMIF('TB Mnthly'!$A:$A,'BS Mnthly'!$B24,'TB Mnthly'!BK:BK)</f>
        <v/>
      </c>
      <c r="BN24" s="698">
        <f>-SUMIF('TB Mnthly'!$A:$A,'BS Mnthly'!$B24,'TB Mnthly'!BL:BL)</f>
        <v/>
      </c>
      <c r="BO24" s="698">
        <f>-SUMIF('TB Mnthly'!$A:$A,'BS Mnthly'!$B24,'TB Mnthly'!BM:BM)</f>
        <v/>
      </c>
      <c r="BP24" s="698">
        <f>-SUMIF('TB Mnthly'!$A:$A,'BS Mnthly'!$B24,'TB Mnthly'!BN:BN)</f>
        <v/>
      </c>
      <c r="BQ24" s="698">
        <f>-SUMIF('TB Mnthly'!$A:$A,'BS Mnthly'!$B24,'TB Mnthly'!BO:BO)</f>
        <v/>
      </c>
    </row>
    <row r="25">
      <c r="A25" s="696" t="n"/>
      <c r="B25" s="14" t="inlineStr">
        <is>
          <t>Profit and Loss Account</t>
        </is>
      </c>
      <c r="C25" s="698">
        <f>'PnL Mnthly'!B49</f>
        <v/>
      </c>
      <c r="D25" s="698">
        <f>C25-SUM('TB Mnthly'!D5:D32)</f>
        <v/>
      </c>
      <c r="E25" s="698">
        <f>D25-SUM('TB Mnthly'!E5:E32)</f>
        <v/>
      </c>
      <c r="F25" s="698">
        <f>E25-SUM('TB Mnthly'!F5:F32)</f>
        <v/>
      </c>
      <c r="G25" s="698">
        <f>F25-SUM('TB Mnthly'!G5:G32)</f>
        <v/>
      </c>
      <c r="H25" s="698">
        <f>G25-SUM('TB Mnthly'!H5:H32)</f>
        <v/>
      </c>
      <c r="I25" s="698">
        <f>H25-SUM('TB Mnthly'!I5:I32)</f>
        <v/>
      </c>
      <c r="J25" s="698">
        <f>I25-SUM('TB Mnthly'!J5:J32)</f>
        <v/>
      </c>
      <c r="K25" s="698">
        <f>J25-SUM('TB Mnthly'!K5:K32)</f>
        <v/>
      </c>
      <c r="L25" s="698">
        <f>K25-SUM('TB Mnthly'!L5:L32)</f>
        <v/>
      </c>
      <c r="M25" s="698">
        <f>L25-SUM('TB Mnthly'!M5:M32)</f>
        <v/>
      </c>
      <c r="N25" s="698">
        <f>M25-SUM('TB Mnthly'!N5:N32)</f>
        <v/>
      </c>
      <c r="O25" s="698">
        <f>N25-SUM('TB Mnthly'!O5:O32)</f>
        <v/>
      </c>
      <c r="R25" s="698">
        <f>O25-SUM('TB Mnthly'!R5:R32)</f>
        <v/>
      </c>
      <c r="S25" s="698">
        <f>R25-SUM('TB Mnthly'!S5:S32)</f>
        <v/>
      </c>
      <c r="T25" s="698">
        <f>S25-SUM('TB Mnthly'!T5:T32)</f>
        <v/>
      </c>
      <c r="U25" s="698">
        <f>T25-SUM('TB Mnthly'!U5:U32)</f>
        <v/>
      </c>
      <c r="V25" s="698">
        <f>U25-SUM('TB Mnthly'!V5:V32)</f>
        <v/>
      </c>
      <c r="W25" s="698">
        <f>V25-SUM('TB Mnthly'!W5:W32)</f>
        <v/>
      </c>
      <c r="X25" s="698">
        <f>W25-SUM('TB Mnthly'!X5:X32)</f>
        <v/>
      </c>
      <c r="Y25" s="698">
        <f>X25-SUM('TB Mnthly'!Y5:Y32)</f>
        <v/>
      </c>
      <c r="Z25" s="698">
        <f>Y25-SUM('TB Mnthly'!Z5:Z32)</f>
        <v/>
      </c>
      <c r="AA25" s="698">
        <f>Z25-SUM('TB Mnthly'!AA5:AA32)</f>
        <v/>
      </c>
      <c r="AB25" s="698">
        <f>AA25-SUM('TB Mnthly'!AB5:AB32)</f>
        <v/>
      </c>
      <c r="AC25" s="698">
        <f>AB25-SUM('TB Mnthly'!AC5:AC32)</f>
        <v/>
      </c>
      <c r="AF25" s="698">
        <f>AC25-SUM('TB Mnthly'!AF5:AF32)</f>
        <v/>
      </c>
      <c r="AG25" s="698">
        <f>AF25-SUM('TB Mnthly'!AG5:AG32)</f>
        <v/>
      </c>
      <c r="AH25" s="698">
        <f>AG25-SUM('TB Mnthly'!AH5:AH32)</f>
        <v/>
      </c>
      <c r="AI25" s="698">
        <f>AH25-SUM('TB Mnthly'!AI5:AI32)</f>
        <v/>
      </c>
      <c r="AJ25" s="698">
        <f>AI25-SUM('TB Mnthly'!AJ5:AJ32)</f>
        <v/>
      </c>
      <c r="AK25" s="698">
        <f>AJ25-SUM('TB Mnthly'!AK5:AK32)</f>
        <v/>
      </c>
      <c r="AL25" s="698">
        <f>AK25-SUM('TB Mnthly'!AL5:AL32)</f>
        <v/>
      </c>
      <c r="AM25" s="698">
        <f>AL25-SUM('TB Mnthly'!AM5:AM32)</f>
        <v/>
      </c>
      <c r="AN25" s="698">
        <f>AM25-SUM('TB Mnthly'!AN5:AN32)</f>
        <v/>
      </c>
      <c r="AO25" s="698">
        <f>AN25-SUM('TB Mnthly'!AO5:AO32)</f>
        <v/>
      </c>
      <c r="AP25" s="698">
        <f>AO25-SUM('TB Mnthly'!AP5:AP32)</f>
        <v/>
      </c>
      <c r="AQ25" s="698">
        <f>AP25-SUM('TB Mnthly'!AQ5:AQ32)</f>
        <v/>
      </c>
      <c r="AR25" s="698" t="n"/>
      <c r="AS25" s="698">
        <f>AQ25-SUM('TB Mnthly'!AT5:AT32)</f>
        <v/>
      </c>
      <c r="AT25" s="698">
        <f>AS25-SUM('TB Mnthly'!AU5:AU32)</f>
        <v/>
      </c>
      <c r="AU25" s="698">
        <f>AT25-SUM('TB Mnthly'!AV5:AV32)</f>
        <v/>
      </c>
      <c r="AV25" s="698">
        <f>AU25-SUM('TB Mnthly'!AW5:AW32)</f>
        <v/>
      </c>
      <c r="AW25" s="698">
        <f>AV25-SUM('TB Mnthly'!AX5:AX32)</f>
        <v/>
      </c>
      <c r="AX25" s="698">
        <f>AW25-SUM('TB Mnthly'!AY5:AY32)</f>
        <v/>
      </c>
      <c r="AY25" s="698">
        <f>AX25-SUM('TB Mnthly'!AZ5:AZ32)</f>
        <v/>
      </c>
      <c r="AZ25" s="698">
        <f>AY25-SUM('TB Mnthly'!BA5:BA32)</f>
        <v/>
      </c>
      <c r="BA25" s="698">
        <f>AZ25-SUM('TB Mnthly'!BB5:BB32)</f>
        <v/>
      </c>
      <c r="BB25" s="698">
        <f>BA25-SUM('TB Mnthly'!BC5:BC32)</f>
        <v/>
      </c>
      <c r="BC25" s="698">
        <f>BB25-SUM('TB Mnthly'!BD5:BD32)</f>
        <v/>
      </c>
      <c r="BD25" s="698">
        <f>BC25-SUM('TB Mnthly'!BE5:BE32)</f>
        <v/>
      </c>
      <c r="BE25" s="698" t="n"/>
      <c r="BF25" s="698">
        <f>BD25-SUM('TB Mnthly'!BH5:BH32)</f>
        <v/>
      </c>
      <c r="BG25" s="698">
        <f>BF25-SUM('TB Mnthly'!BI5:BI32)</f>
        <v/>
      </c>
      <c r="BH25" s="698">
        <f>BG25-SUM('TB Mnthly'!BJ5:BJ32)</f>
        <v/>
      </c>
      <c r="BI25" s="698">
        <f>BH25-SUM('TB Mnthly'!BK5:BK32)</f>
        <v/>
      </c>
      <c r="BJ25" s="698">
        <f>BI25-SUM('TB Mnthly'!BL5:BL32)</f>
        <v/>
      </c>
      <c r="BK25" s="698">
        <f>BJ25-SUM('TB Mnthly'!BM5:BM32)</f>
        <v/>
      </c>
      <c r="BL25" s="698">
        <f>BK25-SUM('TB Mnthly'!BN5:BN32)</f>
        <v/>
      </c>
      <c r="BM25" s="698">
        <f>BL25-SUM('TB Mnthly'!BO5:BO32)</f>
        <v/>
      </c>
      <c r="BN25" s="698">
        <f>BM25-SUM('TB Mnthly'!BP5:BP32)</f>
        <v/>
      </c>
      <c r="BO25" s="698">
        <f>BN25-SUM('TB Mnthly'!BQ5:BQ32)</f>
        <v/>
      </c>
      <c r="BP25" s="698">
        <f>BO25-SUM('TB Mnthly'!BR5:BR32)</f>
        <v/>
      </c>
      <c r="BQ25" s="698">
        <f>BP25-SUM('TB Mnthly'!BS5:BS32)</f>
        <v/>
      </c>
    </row>
    <row r="26">
      <c r="A26" s="696" t="n"/>
      <c r="C26" s="701" t="n"/>
      <c r="D26" s="701" t="n"/>
      <c r="E26" s="701" t="n"/>
      <c r="F26" s="701" t="n"/>
      <c r="G26" s="701" t="n"/>
      <c r="H26" s="701" t="n"/>
      <c r="I26" s="701" t="n"/>
      <c r="J26" s="701" t="n"/>
      <c r="K26" s="701" t="n"/>
      <c r="L26" s="701" t="n"/>
      <c r="M26" s="701" t="n"/>
      <c r="N26" s="701" t="n"/>
      <c r="O26" s="701" t="n"/>
      <c r="AF26" s="701" t="n"/>
      <c r="AG26" s="701" t="n"/>
      <c r="AH26" s="701" t="n"/>
      <c r="AI26" s="701" t="n"/>
      <c r="AJ26" s="701" t="n"/>
      <c r="AK26" s="701" t="n"/>
      <c r="AL26" s="701" t="n"/>
      <c r="AM26" s="701" t="n"/>
      <c r="AN26" s="701" t="n"/>
      <c r="AO26" s="701" t="n"/>
      <c r="AP26" s="701" t="n"/>
      <c r="AQ26" s="701" t="n"/>
      <c r="AR26" s="701" t="n"/>
      <c r="AS26" s="701" t="n"/>
      <c r="AT26" s="701" t="n"/>
      <c r="AU26" s="701" t="n"/>
      <c r="AV26" s="701" t="n"/>
      <c r="AW26" s="701" t="n"/>
      <c r="AX26" s="701" t="n"/>
      <c r="AY26" s="701" t="n"/>
      <c r="AZ26" s="701" t="n"/>
      <c r="BA26" s="701" t="n"/>
      <c r="BB26" s="701" t="n"/>
      <c r="BC26" s="701" t="n"/>
      <c r="BD26" s="701" t="n"/>
      <c r="BE26" s="701" t="n"/>
      <c r="BF26" s="701" t="n"/>
      <c r="BG26" s="701" t="n"/>
      <c r="BH26" s="701" t="n"/>
      <c r="BI26" s="701" t="n"/>
      <c r="BJ26" s="701" t="n"/>
      <c r="BK26" s="701" t="n"/>
      <c r="BL26" s="701" t="n"/>
      <c r="BM26" s="701" t="n"/>
      <c r="BN26" s="701" t="n"/>
      <c r="BO26" s="701" t="n"/>
      <c r="BP26" s="701" t="n"/>
      <c r="BQ26" s="701" t="n"/>
    </row>
    <row r="27" ht="13.5" customHeight="1" thickBot="1">
      <c r="A27" s="696" t="inlineStr">
        <is>
          <t>Shareholders' Funds</t>
        </is>
      </c>
      <c r="C27" s="706">
        <f>SUM(C24:C26)</f>
        <v/>
      </c>
      <c r="D27" s="706">
        <f>SUM(D24:D26)</f>
        <v/>
      </c>
      <c r="E27" s="706">
        <f>SUM(E24:E26)</f>
        <v/>
      </c>
      <c r="F27" s="706">
        <f>SUM(F24:F26)</f>
        <v/>
      </c>
      <c r="G27" s="706">
        <f>SUM(G24:G26)</f>
        <v/>
      </c>
      <c r="H27" s="706">
        <f>SUM(H24:H26)</f>
        <v/>
      </c>
      <c r="I27" s="706">
        <f>SUM(I24:I26)</f>
        <v/>
      </c>
      <c r="J27" s="706">
        <f>SUM(J24:J26)</f>
        <v/>
      </c>
      <c r="K27" s="706">
        <f>SUM(K24:K26)</f>
        <v/>
      </c>
      <c r="L27" s="706">
        <f>SUM(L24:L26)</f>
        <v/>
      </c>
      <c r="M27" s="706">
        <f>SUM(M24:M26)</f>
        <v/>
      </c>
      <c r="N27" s="706">
        <f>SUM(N24:N26)</f>
        <v/>
      </c>
      <c r="O27" s="706">
        <f>SUM(O24:O26)</f>
        <v/>
      </c>
      <c r="R27" s="706">
        <f>SUM(R24:R26)</f>
        <v/>
      </c>
      <c r="S27" s="706">
        <f>SUM(S24:S26)</f>
        <v/>
      </c>
      <c r="T27" s="706">
        <f>SUM(T24:T26)</f>
        <v/>
      </c>
      <c r="U27" s="706">
        <f>SUM(U24:U26)</f>
        <v/>
      </c>
      <c r="V27" s="706">
        <f>SUM(V24:V26)</f>
        <v/>
      </c>
      <c r="W27" s="706">
        <f>SUM(W24:W26)</f>
        <v/>
      </c>
      <c r="X27" s="706">
        <f>SUM(X24:X26)</f>
        <v/>
      </c>
      <c r="Y27" s="706">
        <f>SUM(Y24:Y26)</f>
        <v/>
      </c>
      <c r="Z27" s="706">
        <f>SUM(Z24:Z26)</f>
        <v/>
      </c>
      <c r="AA27" s="706">
        <f>SUM(AA24:AA26)</f>
        <v/>
      </c>
      <c r="AB27" s="706">
        <f>SUM(AB24:AB26)</f>
        <v/>
      </c>
      <c r="AC27" s="706">
        <f>SUM(AC24:AC26)</f>
        <v/>
      </c>
      <c r="AF27" s="706">
        <f>SUM(AF24:AF26)</f>
        <v/>
      </c>
      <c r="AG27" s="706">
        <f>SUM(AG24:AG26)</f>
        <v/>
      </c>
      <c r="AH27" s="706">
        <f>SUM(AH24:AH26)</f>
        <v/>
      </c>
      <c r="AI27" s="706">
        <f>SUM(AI24:AI26)</f>
        <v/>
      </c>
      <c r="AJ27" s="706">
        <f>SUM(AJ24:AJ26)</f>
        <v/>
      </c>
      <c r="AK27" s="706">
        <f>SUM(AK24:AK26)</f>
        <v/>
      </c>
      <c r="AL27" s="706">
        <f>SUM(AL24:AL26)</f>
        <v/>
      </c>
      <c r="AM27" s="706">
        <f>SUM(AM24:AM26)</f>
        <v/>
      </c>
      <c r="AN27" s="706">
        <f>SUM(AN24:AN26)</f>
        <v/>
      </c>
      <c r="AO27" s="706">
        <f>SUM(AO24:AO26)</f>
        <v/>
      </c>
      <c r="AP27" s="706">
        <f>SUM(AP24:AP26)</f>
        <v/>
      </c>
      <c r="AQ27" s="706">
        <f>SUM(AQ24:AQ26)</f>
        <v/>
      </c>
      <c r="AR27" s="706" t="n"/>
      <c r="AS27" s="706">
        <f>SUM(AS24:AS26)</f>
        <v/>
      </c>
      <c r="AT27" s="706">
        <f>SUM(AT24:AT26)</f>
        <v/>
      </c>
      <c r="AU27" s="706">
        <f>SUM(AU24:AU26)</f>
        <v/>
      </c>
      <c r="AV27" s="706">
        <f>SUM(AV24:AV26)</f>
        <v/>
      </c>
      <c r="AW27" s="706">
        <f>SUM(AW24:AW26)</f>
        <v/>
      </c>
      <c r="AX27" s="706">
        <f>SUM(AX24:AX26)</f>
        <v/>
      </c>
      <c r="AY27" s="706">
        <f>SUM(AY24:AY26)</f>
        <v/>
      </c>
      <c r="AZ27" s="706">
        <f>SUM(AZ24:AZ26)</f>
        <v/>
      </c>
      <c r="BA27" s="706">
        <f>SUM(BA24:BA26)</f>
        <v/>
      </c>
      <c r="BB27" s="706">
        <f>SUM(BB24:BB26)</f>
        <v/>
      </c>
      <c r="BC27" s="706">
        <f>SUM(BC24:BC26)</f>
        <v/>
      </c>
      <c r="BD27" s="706">
        <f>SUM(BD24:BD26)</f>
        <v/>
      </c>
      <c r="BE27" s="706" t="n"/>
      <c r="BF27" s="706">
        <f>SUM(BF24:BF26)</f>
        <v/>
      </c>
      <c r="BG27" s="706">
        <f>SUM(BG24:BG26)</f>
        <v/>
      </c>
      <c r="BH27" s="706">
        <f>SUM(BH24:BH26)</f>
        <v/>
      </c>
      <c r="BI27" s="706">
        <f>SUM(BI24:BI26)</f>
        <v/>
      </c>
      <c r="BJ27" s="706">
        <f>SUM(BJ24:BJ26)</f>
        <v/>
      </c>
      <c r="BK27" s="706">
        <f>SUM(BK24:BK26)</f>
        <v/>
      </c>
      <c r="BL27" s="706">
        <f>SUM(BL24:BL26)</f>
        <v/>
      </c>
      <c r="BM27" s="706">
        <f>SUM(BM24:BM26)</f>
        <v/>
      </c>
      <c r="BN27" s="706">
        <f>SUM(BN24:BN26)</f>
        <v/>
      </c>
      <c r="BO27" s="706">
        <f>SUM(BO24:BO26)</f>
        <v/>
      </c>
      <c r="BP27" s="706">
        <f>SUM(BP24:BP26)</f>
        <v/>
      </c>
      <c r="BQ27" s="706">
        <f>SUM(BQ24:BQ26)</f>
        <v/>
      </c>
    </row>
    <row r="28" ht="7.5" customHeight="1" thickTop="1">
      <c r="AF28" s="701" t="n"/>
      <c r="AG28" s="701" t="n"/>
      <c r="AH28" s="701" t="n"/>
      <c r="AI28" s="701" t="n"/>
      <c r="AJ28" s="701" t="n"/>
      <c r="AK28" s="701" t="n"/>
      <c r="AL28" s="701" t="n"/>
      <c r="AM28" s="701" t="n"/>
      <c r="AN28" s="701" t="n"/>
      <c r="AO28" s="701" t="n"/>
      <c r="AP28" s="701" t="n"/>
      <c r="AQ28" s="701" t="n"/>
      <c r="AR28" s="701" t="n"/>
      <c r="AS28" s="701" t="n"/>
      <c r="AT28" s="701" t="n"/>
      <c r="AU28" s="701" t="n"/>
      <c r="AV28" s="701" t="n"/>
      <c r="AW28" s="701" t="n"/>
      <c r="AX28" s="701" t="n"/>
      <c r="AY28" s="701" t="n"/>
      <c r="AZ28" s="701" t="n"/>
      <c r="BA28" s="701" t="n"/>
      <c r="BB28" s="701" t="n"/>
      <c r="BC28" s="701" t="n"/>
      <c r="BD28" s="701" t="n"/>
      <c r="BE28" s="701" t="n"/>
      <c r="BF28" s="701" t="n"/>
      <c r="BG28" s="701" t="n"/>
      <c r="BH28" s="701" t="n"/>
      <c r="BI28" s="701" t="n"/>
      <c r="BJ28" s="701" t="n"/>
      <c r="BK28" s="701" t="n"/>
      <c r="BL28" s="701" t="n"/>
      <c r="BM28" s="701" t="n"/>
      <c r="BN28" s="701" t="n"/>
      <c r="BO28" s="701" t="n"/>
      <c r="BP28" s="701" t="n"/>
      <c r="BQ28" s="701" t="n"/>
    </row>
    <row r="29">
      <c r="A29" s="696" t="n"/>
      <c r="C29" s="697">
        <f>C20-C27</f>
        <v/>
      </c>
      <c r="D29" s="697">
        <f>D20-D27</f>
        <v/>
      </c>
      <c r="E29" s="697">
        <f>E20-E27</f>
        <v/>
      </c>
      <c r="F29" s="697">
        <f>F20-F27</f>
        <v/>
      </c>
      <c r="G29" s="697">
        <f>G20-G27</f>
        <v/>
      </c>
      <c r="H29" s="697">
        <f>H20-H27</f>
        <v/>
      </c>
      <c r="I29" s="697">
        <f>I20-I27</f>
        <v/>
      </c>
      <c r="J29" s="697">
        <f>J20-J27</f>
        <v/>
      </c>
      <c r="K29" s="697">
        <f>K20-K27</f>
        <v/>
      </c>
      <c r="L29" s="697">
        <f>L20-L27</f>
        <v/>
      </c>
      <c r="M29" s="697">
        <f>M20-M27</f>
        <v/>
      </c>
      <c r="N29" s="697">
        <f>N20-N27</f>
        <v/>
      </c>
      <c r="O29" s="697">
        <f>O20-O27</f>
        <v/>
      </c>
      <c r="R29" s="697">
        <f>R20-R27</f>
        <v/>
      </c>
      <c r="S29" s="697">
        <f>S20-S27</f>
        <v/>
      </c>
      <c r="T29" s="697">
        <f>T20-T27</f>
        <v/>
      </c>
      <c r="U29" s="697">
        <f>U20-U27</f>
        <v/>
      </c>
      <c r="V29" s="697">
        <f>V20-V27</f>
        <v/>
      </c>
      <c r="W29" s="697">
        <f>W20-W27</f>
        <v/>
      </c>
      <c r="X29" s="697">
        <f>X20-X27</f>
        <v/>
      </c>
      <c r="Y29" s="697">
        <f>Y20-Y27</f>
        <v/>
      </c>
      <c r="Z29" s="697">
        <f>Z20-Z27</f>
        <v/>
      </c>
      <c r="AA29" s="697">
        <f>AA20-AA27</f>
        <v/>
      </c>
      <c r="AB29" s="697">
        <f>AB20-AB27</f>
        <v/>
      </c>
      <c r="AC29" s="697">
        <f>AC20-AC27</f>
        <v/>
      </c>
      <c r="AF29" s="697">
        <f>AF20-AF27</f>
        <v/>
      </c>
      <c r="AG29" s="697">
        <f>AG20-AG27</f>
        <v/>
      </c>
      <c r="AH29" s="697">
        <f>AH20-AH27</f>
        <v/>
      </c>
      <c r="AI29" s="697">
        <f>AI20-AI27</f>
        <v/>
      </c>
      <c r="AJ29" s="697">
        <f>AJ20-AJ27</f>
        <v/>
      </c>
      <c r="AK29" s="697">
        <f>AK20-AK27</f>
        <v/>
      </c>
      <c r="AL29" s="697">
        <f>AL20-AL27</f>
        <v/>
      </c>
      <c r="AM29" s="697">
        <f>AM20-AM27</f>
        <v/>
      </c>
      <c r="AN29" s="697">
        <f>AN20-AN27</f>
        <v/>
      </c>
      <c r="AO29" s="697">
        <f>AO20-AO27</f>
        <v/>
      </c>
      <c r="AP29" s="697">
        <f>AP20-AP27</f>
        <v/>
      </c>
      <c r="AQ29" s="697">
        <f>AQ20-AQ27</f>
        <v/>
      </c>
      <c r="AR29" s="697" t="n"/>
      <c r="AS29" s="697">
        <f>AS20-AS27</f>
        <v/>
      </c>
      <c r="AT29" s="697">
        <f>AT20-AT27</f>
        <v/>
      </c>
      <c r="AU29" s="697">
        <f>AU20-AU27</f>
        <v/>
      </c>
      <c r="AV29" s="697">
        <f>AV20-AV27</f>
        <v/>
      </c>
      <c r="AW29" s="697">
        <f>AW20-AW27</f>
        <v/>
      </c>
      <c r="AX29" s="697">
        <f>AX20-AX27</f>
        <v/>
      </c>
      <c r="AY29" s="697">
        <f>AY20-AY27</f>
        <v/>
      </c>
      <c r="AZ29" s="697">
        <f>AZ20-AZ27</f>
        <v/>
      </c>
      <c r="BA29" s="697">
        <f>BA20-BA27</f>
        <v/>
      </c>
      <c r="BB29" s="697">
        <f>BB20-BB27</f>
        <v/>
      </c>
      <c r="BC29" s="697">
        <f>BC20-BC27</f>
        <v/>
      </c>
      <c r="BD29" s="697">
        <f>BD20-BD27</f>
        <v/>
      </c>
      <c r="BE29" s="697" t="n"/>
      <c r="BF29" s="697">
        <f>BF20-BF27</f>
        <v/>
      </c>
      <c r="BG29" s="697">
        <f>BG20-BG27</f>
        <v/>
      </c>
      <c r="BH29" s="697">
        <f>BH20-BH27</f>
        <v/>
      </c>
      <c r="BI29" s="697">
        <f>BI20-BI27</f>
        <v/>
      </c>
      <c r="BJ29" s="697">
        <f>BJ20-BJ27</f>
        <v/>
      </c>
      <c r="BK29" s="697">
        <f>BK20-BK27</f>
        <v/>
      </c>
      <c r="BL29" s="697">
        <f>BL20-BL27</f>
        <v/>
      </c>
      <c r="BM29" s="697">
        <f>BM20-BM27</f>
        <v/>
      </c>
      <c r="BN29" s="697">
        <f>BN20-BN27</f>
        <v/>
      </c>
      <c r="BO29" s="697">
        <f>BO20-BO27</f>
        <v/>
      </c>
      <c r="BP29" s="697">
        <f>BP20-BP27</f>
        <v/>
      </c>
      <c r="BQ29" s="697">
        <f>BQ20-BQ27</f>
        <v/>
      </c>
    </row>
    <row r="39">
      <c r="O39" s="707" t="n"/>
    </row>
  </sheetData>
  <mergeCells count="5">
    <mergeCell ref="C5:D5"/>
    <mergeCell ref="BF5:BG5"/>
    <mergeCell ref="AF5:AG5"/>
    <mergeCell ref="AS5:AT5"/>
    <mergeCell ref="R5:S5"/>
  </mergeCells>
  <pageMargins left="0.7" right="0.7" top="0.75" bottom="0.75" header="0.3" footer="0.3"/>
  <pageSetup orientation="landscape" paperSize="9" scale="23"/>
  <headerFooter>
    <oddHeader>&amp;C&amp;F!&amp;A</oddHeader>
    <oddFooter>&amp;CPage 7 of 12&amp;R?2016</oddFooter>
    <evenHeader/>
    <evenFooter/>
    <firstHeader/>
    <firstFooter/>
  </headerFooter>
  <colBreaks count="4" manualBreakCount="4">
    <brk id="15" min="0" max="27" man="1"/>
    <brk id="29" min="0" max="26" man="1"/>
    <brk id="43" min="0" max="26" man="1"/>
    <brk id="57" min="0" max="26" man="1"/>
  </colBreaks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8">
    <outlinePr summaryBelow="1" summaryRight="1"/>
    <pageSetUpPr/>
  </sheetPr>
  <dimension ref="A2:BS23"/>
  <sheetViews>
    <sheetView view="pageBreakPreview" zoomScaleNormal="70" zoomScaleSheetLayoutView="100" workbookViewId="0">
      <selection activeCell="B26" sqref="B26"/>
    </sheetView>
  </sheetViews>
  <sheetFormatPr baseColWidth="8" defaultColWidth="10.5703125" defaultRowHeight="12.75"/>
  <cols>
    <col width="30.7109375" customWidth="1" min="1" max="1"/>
    <col width="10.42578125" bestFit="1" customWidth="1" min="2" max="2"/>
    <col width="11.7109375" bestFit="1" customWidth="1" min="3" max="14"/>
    <col width="10.85546875" bestFit="1" customWidth="1" min="15" max="15"/>
    <col width="3.5703125" customWidth="1" min="16" max="16"/>
    <col width="11.7109375" bestFit="1" customWidth="1" min="17" max="28"/>
    <col width="12.5703125" bestFit="1" customWidth="1" min="29" max="29"/>
    <col width="4" customWidth="1" min="30" max="30"/>
    <col width="11.7109375" bestFit="1" customWidth="1" min="31" max="42"/>
    <col width="11.7109375" customWidth="1" min="43" max="43"/>
    <col width="4.5703125" customWidth="1" min="44" max="44"/>
    <col width="11.5703125" customWidth="1" min="45" max="57"/>
    <col width="3.5703125" customWidth="1" min="58" max="58"/>
    <col width="12" bestFit="1" customWidth="1" min="59" max="70"/>
    <col width="12" customWidth="1" min="71" max="71"/>
  </cols>
  <sheetData>
    <row r="2">
      <c r="A2" s="14" t="n"/>
    </row>
    <row r="3" ht="18.75" customHeight="1">
      <c r="A3" s="72" t="n"/>
    </row>
    <row r="4">
      <c r="A4" s="70" t="n"/>
    </row>
    <row r="5" ht="15" customHeight="1">
      <c r="B5" s="694" t="inlineStr">
        <is>
          <t>Cash Flow - Year 1</t>
        </is>
      </c>
      <c r="Q5" s="694" t="inlineStr">
        <is>
          <t>Cash Flow - Year 2</t>
        </is>
      </c>
      <c r="AE5" s="694" t="inlineStr">
        <is>
          <t>Cash Flow - Year 3</t>
        </is>
      </c>
      <c r="AS5" s="694" t="inlineStr">
        <is>
          <t>Cash Flow - Year 4</t>
        </is>
      </c>
      <c r="BG5" s="694" t="inlineStr">
        <is>
          <t>Cash Flow - Year 5</t>
        </is>
      </c>
    </row>
    <row r="6" ht="15" customHeight="1">
      <c r="B6" s="695" t="inlineStr">
        <is>
          <t>Start Up</t>
        </is>
      </c>
      <c r="C6" s="695" t="inlineStr">
        <is>
          <t>Mnth 1</t>
        </is>
      </c>
      <c r="D6" s="695" t="inlineStr">
        <is>
          <t>Mnth 2</t>
        </is>
      </c>
      <c r="E6" s="695" t="inlineStr">
        <is>
          <t>Mnth 3</t>
        </is>
      </c>
      <c r="F6" s="695" t="inlineStr">
        <is>
          <t>Mnth 4</t>
        </is>
      </c>
      <c r="G6" s="695" t="inlineStr">
        <is>
          <t>Mnth 5</t>
        </is>
      </c>
      <c r="H6" s="695" t="inlineStr">
        <is>
          <t>Mnth 6</t>
        </is>
      </c>
      <c r="I6" s="695" t="inlineStr">
        <is>
          <t>Mnth 7</t>
        </is>
      </c>
      <c r="J6" s="695" t="inlineStr">
        <is>
          <t>Mnth 8</t>
        </is>
      </c>
      <c r="K6" s="695" t="inlineStr">
        <is>
          <t>Mnth 9</t>
        </is>
      </c>
      <c r="L6" s="695" t="inlineStr">
        <is>
          <t>Mnth 10</t>
        </is>
      </c>
      <c r="M6" s="695" t="inlineStr">
        <is>
          <t>Mnth 11</t>
        </is>
      </c>
      <c r="N6" s="695" t="inlineStr">
        <is>
          <t>Mnth 12</t>
        </is>
      </c>
      <c r="O6" s="695" t="inlineStr">
        <is>
          <t>Total</t>
        </is>
      </c>
      <c r="Q6" s="695" t="inlineStr">
        <is>
          <t>Mnth 1</t>
        </is>
      </c>
      <c r="R6" s="695" t="inlineStr">
        <is>
          <t>Mnth 2</t>
        </is>
      </c>
      <c r="S6" s="695" t="inlineStr">
        <is>
          <t>Mnth 3</t>
        </is>
      </c>
      <c r="T6" s="695" t="inlineStr">
        <is>
          <t>Mnth 4</t>
        </is>
      </c>
      <c r="U6" s="695" t="inlineStr">
        <is>
          <t>Mnth 5</t>
        </is>
      </c>
      <c r="V6" s="695" t="inlineStr">
        <is>
          <t>Mnth 6</t>
        </is>
      </c>
      <c r="W6" s="695" t="inlineStr">
        <is>
          <t>Mnth 7</t>
        </is>
      </c>
      <c r="X6" s="695" t="inlineStr">
        <is>
          <t>Mnth 8</t>
        </is>
      </c>
      <c r="Y6" s="695" t="inlineStr">
        <is>
          <t>Mnth 9</t>
        </is>
      </c>
      <c r="Z6" s="695" t="inlineStr">
        <is>
          <t>Mnth 10</t>
        </is>
      </c>
      <c r="AA6" s="695" t="inlineStr">
        <is>
          <t>Mnth 11</t>
        </is>
      </c>
      <c r="AB6" s="695" t="inlineStr">
        <is>
          <t>Mnth 12</t>
        </is>
      </c>
      <c r="AC6" s="695" t="inlineStr">
        <is>
          <t>Total</t>
        </is>
      </c>
      <c r="AE6" s="708" t="inlineStr">
        <is>
          <t>Mnth 1</t>
        </is>
      </c>
      <c r="AF6" s="708" t="inlineStr">
        <is>
          <t>Mnth 2</t>
        </is>
      </c>
      <c r="AG6" s="708" t="inlineStr">
        <is>
          <t>Mnth 3</t>
        </is>
      </c>
      <c r="AH6" s="708" t="inlineStr">
        <is>
          <t>Mnth 4</t>
        </is>
      </c>
      <c r="AI6" s="708" t="inlineStr">
        <is>
          <t>Mnth 5</t>
        </is>
      </c>
      <c r="AJ6" s="708" t="inlineStr">
        <is>
          <t>Mnth 6</t>
        </is>
      </c>
      <c r="AK6" s="708" t="inlineStr">
        <is>
          <t>Mnth 7</t>
        </is>
      </c>
      <c r="AL6" s="708" t="inlineStr">
        <is>
          <t>Mnth 8</t>
        </is>
      </c>
      <c r="AM6" s="708" t="inlineStr">
        <is>
          <t>Mnth 9</t>
        </is>
      </c>
      <c r="AN6" s="708" t="inlineStr">
        <is>
          <t>Mnth 10</t>
        </is>
      </c>
      <c r="AO6" s="708" t="inlineStr">
        <is>
          <t>Mnth 11</t>
        </is>
      </c>
      <c r="AP6" s="708" t="inlineStr">
        <is>
          <t>Mnth 12</t>
        </is>
      </c>
      <c r="AQ6" s="708" t="inlineStr">
        <is>
          <t>Total</t>
        </is>
      </c>
      <c r="AS6" s="708" t="inlineStr">
        <is>
          <t>Mnth 1</t>
        </is>
      </c>
      <c r="AT6" s="708" t="inlineStr">
        <is>
          <t>Mnth 2</t>
        </is>
      </c>
      <c r="AU6" s="708" t="inlineStr">
        <is>
          <t>Mnth 3</t>
        </is>
      </c>
      <c r="AV6" s="708" t="inlineStr">
        <is>
          <t>Mnth 4</t>
        </is>
      </c>
      <c r="AW6" s="708" t="inlineStr">
        <is>
          <t>Mnth 5</t>
        </is>
      </c>
      <c r="AX6" s="708" t="inlineStr">
        <is>
          <t>Mnth 6</t>
        </is>
      </c>
      <c r="AY6" s="708" t="inlineStr">
        <is>
          <t>Mnth 7</t>
        </is>
      </c>
      <c r="AZ6" s="708" t="inlineStr">
        <is>
          <t>Mnth 8</t>
        </is>
      </c>
      <c r="BA6" s="708" t="inlineStr">
        <is>
          <t>Mnth 9</t>
        </is>
      </c>
      <c r="BB6" s="708" t="inlineStr">
        <is>
          <t>Mnth 10</t>
        </is>
      </c>
      <c r="BC6" s="708" t="inlineStr">
        <is>
          <t>Mnth 11</t>
        </is>
      </c>
      <c r="BD6" s="708" t="inlineStr">
        <is>
          <t>Mnth 12</t>
        </is>
      </c>
      <c r="BE6" s="708" t="inlineStr">
        <is>
          <t>Total</t>
        </is>
      </c>
      <c r="BG6" s="708" t="inlineStr">
        <is>
          <t>Mnth 1</t>
        </is>
      </c>
      <c r="BH6" s="708" t="inlineStr">
        <is>
          <t>Mnth 2</t>
        </is>
      </c>
      <c r="BI6" s="708" t="inlineStr">
        <is>
          <t>Mnth 3</t>
        </is>
      </c>
      <c r="BJ6" s="708" t="inlineStr">
        <is>
          <t>Mnth 4</t>
        </is>
      </c>
      <c r="BK6" s="708" t="inlineStr">
        <is>
          <t>Mnth 5</t>
        </is>
      </c>
      <c r="BL6" s="708" t="inlineStr">
        <is>
          <t>Mnth 6</t>
        </is>
      </c>
      <c r="BM6" s="708" t="inlineStr">
        <is>
          <t>Mnth 7</t>
        </is>
      </c>
      <c r="BN6" s="708" t="inlineStr">
        <is>
          <t>Mnth 8</t>
        </is>
      </c>
      <c r="BO6" s="708" t="inlineStr">
        <is>
          <t>Mnth 9</t>
        </is>
      </c>
      <c r="BP6" s="708" t="inlineStr">
        <is>
          <t>Mnth 10</t>
        </is>
      </c>
      <c r="BQ6" s="708" t="inlineStr">
        <is>
          <t>Mnth 11</t>
        </is>
      </c>
      <c r="BR6" s="708" t="inlineStr">
        <is>
          <t>Mnth 12</t>
        </is>
      </c>
      <c r="BS6" s="708" t="inlineStr">
        <is>
          <t>Total</t>
        </is>
      </c>
    </row>
    <row r="7">
      <c r="AE7" s="60" t="n"/>
      <c r="AF7" s="60" t="n"/>
      <c r="AG7" s="60" t="n"/>
      <c r="AH7" s="60" t="n"/>
      <c r="AI7" s="60" t="n"/>
      <c r="AJ7" s="60" t="n"/>
      <c r="AK7" s="60" t="n"/>
      <c r="AL7" s="60" t="n"/>
      <c r="AM7" s="60" t="n"/>
      <c r="AN7" s="60" t="n"/>
      <c r="AO7" s="60" t="n"/>
      <c r="AP7" s="60" t="n"/>
      <c r="AQ7" s="60" t="n"/>
    </row>
    <row r="8">
      <c r="A8" s="697" t="inlineStr">
        <is>
          <t>Cash on Hand (start of month)</t>
        </is>
      </c>
      <c r="B8" s="698">
        <f>Calc!B65</f>
        <v/>
      </c>
      <c r="C8" s="698">
        <f>B20</f>
        <v/>
      </c>
      <c r="D8" s="698">
        <f>C20</f>
        <v/>
      </c>
      <c r="E8" s="698">
        <f>D20</f>
        <v/>
      </c>
      <c r="F8" s="698">
        <f>E20</f>
        <v/>
      </c>
      <c r="G8" s="698">
        <f>F20</f>
        <v/>
      </c>
      <c r="H8" s="698">
        <f>G20</f>
        <v/>
      </c>
      <c r="I8" s="698">
        <f>H20</f>
        <v/>
      </c>
      <c r="J8" s="698">
        <f>I20</f>
        <v/>
      </c>
      <c r="K8" s="698">
        <f>J20</f>
        <v/>
      </c>
      <c r="L8" s="698">
        <f>K20</f>
        <v/>
      </c>
      <c r="M8" s="698">
        <f>L20</f>
        <v/>
      </c>
      <c r="N8" s="698">
        <f>M20</f>
        <v/>
      </c>
      <c r="O8" s="698">
        <f>B8</f>
        <v/>
      </c>
      <c r="P8" s="697" t="n"/>
      <c r="Q8" s="698">
        <f>N20</f>
        <v/>
      </c>
      <c r="R8" s="698">
        <f>Q20</f>
        <v/>
      </c>
      <c r="S8" s="698">
        <f>R20</f>
        <v/>
      </c>
      <c r="T8" s="698">
        <f>S20</f>
        <v/>
      </c>
      <c r="U8" s="698">
        <f>T20</f>
        <v/>
      </c>
      <c r="V8" s="698">
        <f>U20</f>
        <v/>
      </c>
      <c r="W8" s="698">
        <f>V20</f>
        <v/>
      </c>
      <c r="X8" s="698">
        <f>W20</f>
        <v/>
      </c>
      <c r="Y8" s="698">
        <f>X20</f>
        <v/>
      </c>
      <c r="Z8" s="698">
        <f>Y20</f>
        <v/>
      </c>
      <c r="AA8" s="698">
        <f>Z20</f>
        <v/>
      </c>
      <c r="AB8" s="698">
        <f>AA20</f>
        <v/>
      </c>
      <c r="AC8" s="698">
        <f>Q8</f>
        <v/>
      </c>
      <c r="AE8" s="698">
        <f>AB20</f>
        <v/>
      </c>
      <c r="AF8" s="698">
        <f>AE20</f>
        <v/>
      </c>
      <c r="AG8" s="698">
        <f>AF20</f>
        <v/>
      </c>
      <c r="AH8" s="698">
        <f>AG20</f>
        <v/>
      </c>
      <c r="AI8" s="698">
        <f>AH20</f>
        <v/>
      </c>
      <c r="AJ8" s="698">
        <f>AI20</f>
        <v/>
      </c>
      <c r="AK8" s="698">
        <f>AJ20</f>
        <v/>
      </c>
      <c r="AL8" s="698">
        <f>AK20</f>
        <v/>
      </c>
      <c r="AM8" s="698">
        <f>AL20</f>
        <v/>
      </c>
      <c r="AN8" s="698">
        <f>AM20</f>
        <v/>
      </c>
      <c r="AO8" s="698">
        <f>AN20</f>
        <v/>
      </c>
      <c r="AP8" s="698">
        <f>AO20</f>
        <v/>
      </c>
      <c r="AQ8" s="698">
        <f>AE8</f>
        <v/>
      </c>
      <c r="AS8" s="698">
        <f>AP20</f>
        <v/>
      </c>
      <c r="AT8" s="698">
        <f>AS20</f>
        <v/>
      </c>
      <c r="AU8" s="698">
        <f>AT20</f>
        <v/>
      </c>
      <c r="AV8" s="698">
        <f>AU20</f>
        <v/>
      </c>
      <c r="AW8" s="698">
        <f>AV20</f>
        <v/>
      </c>
      <c r="AX8" s="698">
        <f>AW20</f>
        <v/>
      </c>
      <c r="AY8" s="698">
        <f>AX20</f>
        <v/>
      </c>
      <c r="AZ8" s="698">
        <f>AY20</f>
        <v/>
      </c>
      <c r="BA8" s="698">
        <f>AZ20</f>
        <v/>
      </c>
      <c r="BB8" s="698">
        <f>BA20</f>
        <v/>
      </c>
      <c r="BC8" s="698">
        <f>BB20</f>
        <v/>
      </c>
      <c r="BD8" s="698">
        <f>BC20</f>
        <v/>
      </c>
      <c r="BE8" s="698">
        <f>AS8</f>
        <v/>
      </c>
      <c r="BG8" s="698">
        <f>BD20</f>
        <v/>
      </c>
      <c r="BH8" s="698">
        <f>BG20</f>
        <v/>
      </c>
      <c r="BI8" s="698">
        <f>BH20</f>
        <v/>
      </c>
      <c r="BJ8" s="698">
        <f>BI20</f>
        <v/>
      </c>
      <c r="BK8" s="698">
        <f>BJ20</f>
        <v/>
      </c>
      <c r="BL8" s="698">
        <f>BK20</f>
        <v/>
      </c>
      <c r="BM8" s="698">
        <f>BL20</f>
        <v/>
      </c>
      <c r="BN8" s="698">
        <f>BM20</f>
        <v/>
      </c>
      <c r="BO8" s="698">
        <f>BN20</f>
        <v/>
      </c>
      <c r="BP8" s="698">
        <f>BO20</f>
        <v/>
      </c>
      <c r="BQ8" s="698">
        <f>BP20</f>
        <v/>
      </c>
      <c r="BR8" s="698">
        <f>BQ20</f>
        <v/>
      </c>
      <c r="BS8" s="698">
        <f>BG8</f>
        <v/>
      </c>
    </row>
    <row r="9">
      <c r="A9" s="697" t="n"/>
      <c r="B9" s="697" t="n"/>
      <c r="C9" s="697" t="n"/>
      <c r="D9" s="697" t="n"/>
      <c r="E9" s="697" t="n"/>
      <c r="F9" s="697" t="n"/>
      <c r="G9" s="697" t="n"/>
      <c r="H9" s="697" t="n"/>
      <c r="I9" s="697" t="n"/>
      <c r="J9" s="697" t="n"/>
      <c r="K9" s="697" t="n"/>
      <c r="L9" s="697" t="n"/>
      <c r="M9" s="697" t="n"/>
      <c r="N9" s="697" t="n"/>
      <c r="O9" s="697" t="n"/>
      <c r="P9" s="697" t="n"/>
      <c r="Q9" s="698" t="n"/>
      <c r="R9" s="698" t="n"/>
      <c r="S9" s="698" t="n"/>
      <c r="T9" s="698" t="n"/>
      <c r="U9" s="698" t="n"/>
      <c r="V9" s="698" t="n"/>
      <c r="W9" s="701" t="n"/>
      <c r="X9" s="701" t="n"/>
      <c r="Y9" s="701" t="n"/>
      <c r="Z9" s="701" t="n"/>
      <c r="AA9" s="701" t="n"/>
      <c r="AB9" s="701" t="n"/>
      <c r="AC9" s="701" t="n"/>
      <c r="AE9" s="701" t="n"/>
      <c r="AF9" s="701" t="n"/>
      <c r="AG9" s="701" t="n"/>
      <c r="AH9" s="701" t="n"/>
      <c r="AI9" s="701" t="n"/>
      <c r="AJ9" s="701" t="n"/>
      <c r="AK9" s="701" t="n"/>
      <c r="AL9" s="701" t="n"/>
      <c r="AM9" s="701" t="n"/>
      <c r="AN9" s="701" t="n"/>
      <c r="AO9" s="701" t="n"/>
      <c r="AP9" s="701" t="n"/>
      <c r="AQ9" s="701" t="n"/>
    </row>
    <row r="10">
      <c r="A10" s="697" t="inlineStr">
        <is>
          <t>Cash Sales</t>
        </is>
      </c>
      <c r="B10" s="698">
        <f>Calc!B67</f>
        <v/>
      </c>
      <c r="C10" s="698">
        <f>Calc!C67</f>
        <v/>
      </c>
      <c r="D10" s="698">
        <f>Calc!D67</f>
        <v/>
      </c>
      <c r="E10" s="698">
        <f>Calc!E67</f>
        <v/>
      </c>
      <c r="F10" s="698">
        <f>Calc!F67</f>
        <v/>
      </c>
      <c r="G10" s="698">
        <f>Calc!G67</f>
        <v/>
      </c>
      <c r="H10" s="698">
        <f>Calc!H67</f>
        <v/>
      </c>
      <c r="I10" s="698">
        <f>Calc!I67</f>
        <v/>
      </c>
      <c r="J10" s="698">
        <f>Calc!J67</f>
        <v/>
      </c>
      <c r="K10" s="698">
        <f>Calc!K67</f>
        <v/>
      </c>
      <c r="L10" s="698">
        <f>Calc!L67</f>
        <v/>
      </c>
      <c r="M10" s="698">
        <f>Calc!M67</f>
        <v/>
      </c>
      <c r="N10" s="698">
        <f>Calc!N67</f>
        <v/>
      </c>
      <c r="O10" s="698">
        <f>SUM(B10:N10)</f>
        <v/>
      </c>
      <c r="P10" s="697" t="n"/>
      <c r="Q10" s="698">
        <f>Calc!$P$67/12</f>
        <v/>
      </c>
      <c r="R10" s="698">
        <f>Calc!$P$67/12</f>
        <v/>
      </c>
      <c r="S10" s="698">
        <f>Calc!$P$67/12</f>
        <v/>
      </c>
      <c r="T10" s="698">
        <f>Calc!$P$67/12</f>
        <v/>
      </c>
      <c r="U10" s="698">
        <f>Calc!$P$67/12</f>
        <v/>
      </c>
      <c r="V10" s="698">
        <f>Calc!$P$67/12</f>
        <v/>
      </c>
      <c r="W10" s="698">
        <f>Calc!$P$67/12</f>
        <v/>
      </c>
      <c r="X10" s="698">
        <f>Calc!$P$67/12</f>
        <v/>
      </c>
      <c r="Y10" s="698">
        <f>Calc!$P$67/12</f>
        <v/>
      </c>
      <c r="Z10" s="698">
        <f>Calc!$P$67/12</f>
        <v/>
      </c>
      <c r="AA10" s="698">
        <f>Calc!$P$67/12</f>
        <v/>
      </c>
      <c r="AB10" s="698">
        <f>Calc!$P$67/12</f>
        <v/>
      </c>
      <c r="AC10" s="698">
        <f>SUM(Q10:AB10)</f>
        <v/>
      </c>
      <c r="AE10" s="698">
        <f>Calc!$Q$67/12</f>
        <v/>
      </c>
      <c r="AF10" s="698">
        <f>Calc!$Q$67/12</f>
        <v/>
      </c>
      <c r="AG10" s="698">
        <f>Calc!$Q$67/12</f>
        <v/>
      </c>
      <c r="AH10" s="698">
        <f>Calc!$Q$67/12</f>
        <v/>
      </c>
      <c r="AI10" s="698">
        <f>Calc!$Q$67/12</f>
        <v/>
      </c>
      <c r="AJ10" s="698">
        <f>Calc!$Q$67/12</f>
        <v/>
      </c>
      <c r="AK10" s="698">
        <f>Calc!$Q$67/12</f>
        <v/>
      </c>
      <c r="AL10" s="698">
        <f>Calc!$Q$67/12</f>
        <v/>
      </c>
      <c r="AM10" s="698">
        <f>Calc!$Q$67/12</f>
        <v/>
      </c>
      <c r="AN10" s="698">
        <f>Calc!$Q$67/12</f>
        <v/>
      </c>
      <c r="AO10" s="698">
        <f>Calc!$Q$67/12</f>
        <v/>
      </c>
      <c r="AP10" s="698">
        <f>Calc!$Q$67/12</f>
        <v/>
      </c>
      <c r="AQ10" s="698">
        <f>SUM(AE10:AP10)</f>
        <v/>
      </c>
      <c r="AS10" s="698">
        <f>Calc!$R$67/12</f>
        <v/>
      </c>
      <c r="AT10" s="698">
        <f>Calc!$R$67/12</f>
        <v/>
      </c>
      <c r="AU10" s="698">
        <f>Calc!$R$67/12</f>
        <v/>
      </c>
      <c r="AV10" s="698">
        <f>Calc!$R$67/12</f>
        <v/>
      </c>
      <c r="AW10" s="698">
        <f>Calc!$R$67/12</f>
        <v/>
      </c>
      <c r="AX10" s="698">
        <f>Calc!$R$67/12</f>
        <v/>
      </c>
      <c r="AY10" s="698">
        <f>Calc!$R$67/12</f>
        <v/>
      </c>
      <c r="AZ10" s="698">
        <f>Calc!$R$67/12</f>
        <v/>
      </c>
      <c r="BA10" s="698">
        <f>Calc!$R$67/12</f>
        <v/>
      </c>
      <c r="BB10" s="698">
        <f>Calc!$R$67/12</f>
        <v/>
      </c>
      <c r="BC10" s="698">
        <f>Calc!$R$67/12</f>
        <v/>
      </c>
      <c r="BD10" s="698">
        <f>Calc!$R$67/12</f>
        <v/>
      </c>
      <c r="BE10" s="698">
        <f>SUM(AS10:BD10)</f>
        <v/>
      </c>
      <c r="BG10" s="698">
        <f>Calc!$S$67/12</f>
        <v/>
      </c>
      <c r="BH10" s="698">
        <f>Calc!$S$67/12</f>
        <v/>
      </c>
      <c r="BI10" s="698">
        <f>Calc!$S$67/12</f>
        <v/>
      </c>
      <c r="BJ10" s="698">
        <f>Calc!$S$67/12</f>
        <v/>
      </c>
      <c r="BK10" s="698">
        <f>Calc!$S$67/12</f>
        <v/>
      </c>
      <c r="BL10" s="698">
        <f>Calc!$S$67/12</f>
        <v/>
      </c>
      <c r="BM10" s="698">
        <f>Calc!$S$67/12</f>
        <v/>
      </c>
      <c r="BN10" s="698">
        <f>Calc!$S$67/12</f>
        <v/>
      </c>
      <c r="BO10" s="698">
        <f>Calc!$S$67/12</f>
        <v/>
      </c>
      <c r="BP10" s="698">
        <f>Calc!$S$67/12</f>
        <v/>
      </c>
      <c r="BQ10" s="698">
        <f>Calc!$S$67/12</f>
        <v/>
      </c>
      <c r="BR10" s="698">
        <f>Calc!$S$67/12</f>
        <v/>
      </c>
      <c r="BS10" s="698">
        <f>SUM(BG10:BR10)</f>
        <v/>
      </c>
    </row>
    <row r="11">
      <c r="A11" s="697" t="n"/>
      <c r="B11" s="698" t="n"/>
      <c r="C11" s="698" t="n"/>
      <c r="D11" s="698" t="n"/>
      <c r="E11" s="698" t="n"/>
      <c r="F11" s="698" t="n"/>
      <c r="G11" s="698" t="n"/>
      <c r="H11" s="698" t="n"/>
      <c r="I11" s="698" t="n"/>
      <c r="J11" s="698" t="n"/>
      <c r="K11" s="698" t="n"/>
      <c r="L11" s="698" t="n"/>
      <c r="M11" s="698" t="n"/>
      <c r="N11" s="698" t="n"/>
      <c r="O11" s="698">
        <f>SUM(B11:N11)</f>
        <v/>
      </c>
      <c r="P11" s="697" t="n"/>
      <c r="Q11" s="698" t="n"/>
      <c r="R11" s="698" t="n"/>
      <c r="S11" s="698" t="n"/>
      <c r="T11" s="698" t="n"/>
      <c r="U11" s="698" t="n"/>
      <c r="V11" s="698" t="n"/>
      <c r="W11" s="698" t="n"/>
      <c r="X11" s="698" t="n"/>
      <c r="Y11" s="698" t="n"/>
      <c r="Z11" s="698" t="n"/>
      <c r="AA11" s="698" t="n"/>
      <c r="AB11" s="698" t="n"/>
      <c r="AC11" s="698">
        <f>SUM(P11:AB11)</f>
        <v/>
      </c>
      <c r="AE11" s="698" t="n"/>
      <c r="AF11" s="698" t="n"/>
      <c r="AG11" s="698" t="n"/>
      <c r="AH11" s="698" t="n"/>
      <c r="AI11" s="698" t="n"/>
      <c r="AJ11" s="698" t="n"/>
      <c r="AK11" s="698" t="n"/>
      <c r="AL11" s="698" t="n"/>
      <c r="AM11" s="698" t="n"/>
      <c r="AN11" s="698" t="n"/>
      <c r="AO11" s="698" t="n"/>
      <c r="AP11" s="698" t="n"/>
      <c r="AQ11" s="698" t="n"/>
    </row>
    <row r="12">
      <c r="A12" s="697" t="inlineStr">
        <is>
          <t>Cash Expenses</t>
        </is>
      </c>
      <c r="B12" s="698">
        <f>Calc!B68</f>
        <v/>
      </c>
      <c r="C12" s="698">
        <f>Calc!C68</f>
        <v/>
      </c>
      <c r="D12" s="698">
        <f>Calc!D68</f>
        <v/>
      </c>
      <c r="E12" s="698">
        <f>Calc!E68</f>
        <v/>
      </c>
      <c r="F12" s="698">
        <f>Calc!F68</f>
        <v/>
      </c>
      <c r="G12" s="698">
        <f>Calc!G68</f>
        <v/>
      </c>
      <c r="H12" s="698">
        <f>Calc!H68</f>
        <v/>
      </c>
      <c r="I12" s="698">
        <f>Calc!I68</f>
        <v/>
      </c>
      <c r="J12" s="698">
        <f>Calc!J68</f>
        <v/>
      </c>
      <c r="K12" s="698">
        <f>Calc!K68</f>
        <v/>
      </c>
      <c r="L12" s="698">
        <f>Calc!L68</f>
        <v/>
      </c>
      <c r="M12" s="698">
        <f>Calc!M68</f>
        <v/>
      </c>
      <c r="N12" s="698">
        <f>Calc!N68</f>
        <v/>
      </c>
      <c r="O12" s="698">
        <f>SUM(B12:N12)</f>
        <v/>
      </c>
      <c r="P12" s="697" t="n"/>
      <c r="Q12" s="698">
        <f>Calc!$P$68/12</f>
        <v/>
      </c>
      <c r="R12" s="698">
        <f>Calc!$P$68/12</f>
        <v/>
      </c>
      <c r="S12" s="698">
        <f>Calc!$P$68/12</f>
        <v/>
      </c>
      <c r="T12" s="698">
        <f>Calc!$P$68/12</f>
        <v/>
      </c>
      <c r="U12" s="698">
        <f>Calc!$P$68/12</f>
        <v/>
      </c>
      <c r="V12" s="698">
        <f>Calc!$P$68/12</f>
        <v/>
      </c>
      <c r="W12" s="698">
        <f>Calc!$P$68/12</f>
        <v/>
      </c>
      <c r="X12" s="698">
        <f>Calc!$P$68/12</f>
        <v/>
      </c>
      <c r="Y12" s="698">
        <f>Calc!$P$68/12</f>
        <v/>
      </c>
      <c r="Z12" s="698">
        <f>Calc!$P$68/12</f>
        <v/>
      </c>
      <c r="AA12" s="698">
        <f>Calc!$P$68/12</f>
        <v/>
      </c>
      <c r="AB12" s="698">
        <f>Calc!$P$68/12</f>
        <v/>
      </c>
      <c r="AC12" s="698">
        <f>SUM(P12:AB12)</f>
        <v/>
      </c>
      <c r="AE12" s="698">
        <f>Calc!$Q$68/12</f>
        <v/>
      </c>
      <c r="AF12" s="698">
        <f>Calc!$Q$68/12</f>
        <v/>
      </c>
      <c r="AG12" s="698">
        <f>Calc!$Q$68/12</f>
        <v/>
      </c>
      <c r="AH12" s="698">
        <f>Calc!$Q$68/12</f>
        <v/>
      </c>
      <c r="AI12" s="698">
        <f>Calc!$Q$68/12</f>
        <v/>
      </c>
      <c r="AJ12" s="698">
        <f>Calc!$Q$68/12</f>
        <v/>
      </c>
      <c r="AK12" s="698">
        <f>Calc!$Q$68/12</f>
        <v/>
      </c>
      <c r="AL12" s="698">
        <f>Calc!$Q$68/12</f>
        <v/>
      </c>
      <c r="AM12" s="698">
        <f>Calc!$Q$68/12</f>
        <v/>
      </c>
      <c r="AN12" s="698">
        <f>Calc!$Q$68/12</f>
        <v/>
      </c>
      <c r="AO12" s="698">
        <f>Calc!$Q$68/12</f>
        <v/>
      </c>
      <c r="AP12" s="698">
        <f>Calc!$Q$68/12</f>
        <v/>
      </c>
      <c r="AQ12" s="698">
        <f>SUM(AE12:AP12)</f>
        <v/>
      </c>
      <c r="AS12" s="698">
        <f>Calc!$R$68/12</f>
        <v/>
      </c>
      <c r="AT12" s="698">
        <f>Calc!$R$68/12</f>
        <v/>
      </c>
      <c r="AU12" s="698">
        <f>Calc!$R$68/12</f>
        <v/>
      </c>
      <c r="AV12" s="698">
        <f>Calc!$R$68/12</f>
        <v/>
      </c>
      <c r="AW12" s="698">
        <f>Calc!$R$68/12</f>
        <v/>
      </c>
      <c r="AX12" s="698">
        <f>Calc!$R$68/12</f>
        <v/>
      </c>
      <c r="AY12" s="698">
        <f>Calc!$R$68/12</f>
        <v/>
      </c>
      <c r="AZ12" s="698">
        <f>Calc!$R$68/12</f>
        <v/>
      </c>
      <c r="BA12" s="698">
        <f>Calc!$R$68/12</f>
        <v/>
      </c>
      <c r="BB12" s="698">
        <f>Calc!$R$68/12</f>
        <v/>
      </c>
      <c r="BC12" s="698">
        <f>Calc!$R$68/12</f>
        <v/>
      </c>
      <c r="BD12" s="698">
        <f>Calc!$R$68/12</f>
        <v/>
      </c>
      <c r="BE12" s="698">
        <f>SUM(AS12:BD12)</f>
        <v/>
      </c>
      <c r="BG12" s="698">
        <f>Calc!$S$68/12</f>
        <v/>
      </c>
      <c r="BH12" s="698">
        <f>Calc!$S$68/12</f>
        <v/>
      </c>
      <c r="BI12" s="698">
        <f>Calc!$S$68/12</f>
        <v/>
      </c>
      <c r="BJ12" s="698">
        <f>Calc!$S$68/12</f>
        <v/>
      </c>
      <c r="BK12" s="698">
        <f>Calc!$S$68/12</f>
        <v/>
      </c>
      <c r="BL12" s="698">
        <f>Calc!$S$68/12</f>
        <v/>
      </c>
      <c r="BM12" s="698">
        <f>Calc!$S$68/12</f>
        <v/>
      </c>
      <c r="BN12" s="698">
        <f>Calc!$S$68/12</f>
        <v/>
      </c>
      <c r="BO12" s="698">
        <f>Calc!$S$68/12</f>
        <v/>
      </c>
      <c r="BP12" s="698">
        <f>Calc!$S$68/12</f>
        <v/>
      </c>
      <c r="BQ12" s="698">
        <f>Calc!$S$68/12</f>
        <v/>
      </c>
      <c r="BR12" s="698">
        <f>Calc!$S$68/12</f>
        <v/>
      </c>
      <c r="BS12" s="698">
        <f>SUM(BG12:BR12)</f>
        <v/>
      </c>
    </row>
    <row r="13" customFormat="1" s="3">
      <c r="A13" s="696" t="inlineStr">
        <is>
          <t>CASH FLOW FROM OPERATIONS</t>
        </is>
      </c>
      <c r="B13" s="699">
        <f>+B10+B11+B12</f>
        <v/>
      </c>
      <c r="C13" s="699">
        <f>+C10+C11+C12</f>
        <v/>
      </c>
      <c r="D13" s="699">
        <f>+D10+D11+D12</f>
        <v/>
      </c>
      <c r="E13" s="699">
        <f>+E10+E11+E12</f>
        <v/>
      </c>
      <c r="F13" s="699">
        <f>+F10+F11+F12</f>
        <v/>
      </c>
      <c r="G13" s="699">
        <f>+G10+G11+G12</f>
        <v/>
      </c>
      <c r="H13" s="699">
        <f>+H10+H11+H12</f>
        <v/>
      </c>
      <c r="I13" s="699">
        <f>+I10+I11+I12</f>
        <v/>
      </c>
      <c r="J13" s="699">
        <f>+J10+J11+J12</f>
        <v/>
      </c>
      <c r="K13" s="699">
        <f>+K10+K11+K12</f>
        <v/>
      </c>
      <c r="L13" s="699">
        <f>+L10+L11+L12</f>
        <v/>
      </c>
      <c r="M13" s="699">
        <f>+M10+M11+M12</f>
        <v/>
      </c>
      <c r="N13" s="699">
        <f>+N10+N11+N12</f>
        <v/>
      </c>
      <c r="O13" s="699">
        <f>+O10+O11+O12</f>
        <v/>
      </c>
      <c r="P13" s="696" t="n"/>
      <c r="Q13" s="699">
        <f>Q10+Q11+Q12</f>
        <v/>
      </c>
      <c r="R13" s="699">
        <f>R10+R12</f>
        <v/>
      </c>
      <c r="S13" s="699">
        <f>S10+S12</f>
        <v/>
      </c>
      <c r="T13" s="699">
        <f>T10+T12</f>
        <v/>
      </c>
      <c r="U13" s="699">
        <f>U10+U12</f>
        <v/>
      </c>
      <c r="V13" s="699">
        <f>V10+V12</f>
        <v/>
      </c>
      <c r="W13" s="699">
        <f>W10+W12</f>
        <v/>
      </c>
      <c r="X13" s="699">
        <f>X10+X12</f>
        <v/>
      </c>
      <c r="Y13" s="699">
        <f>Y10+Y12</f>
        <v/>
      </c>
      <c r="Z13" s="699">
        <f>Z10+Z12</f>
        <v/>
      </c>
      <c r="AA13" s="699">
        <f>AA10+AA12</f>
        <v/>
      </c>
      <c r="AB13" s="699">
        <f>AB10+AB12</f>
        <v/>
      </c>
      <c r="AC13" s="699">
        <f>AC10+AC11+AC12</f>
        <v/>
      </c>
      <c r="AE13" s="699">
        <f>AE10+AE12</f>
        <v/>
      </c>
      <c r="AF13" s="699">
        <f>AF10+AF12</f>
        <v/>
      </c>
      <c r="AG13" s="699">
        <f>AG10+AG12</f>
        <v/>
      </c>
      <c r="AH13" s="699">
        <f>AH10+AH12</f>
        <v/>
      </c>
      <c r="AI13" s="699">
        <f>AI10+AI12</f>
        <v/>
      </c>
      <c r="AJ13" s="699">
        <f>AJ10+AJ12</f>
        <v/>
      </c>
      <c r="AK13" s="699">
        <f>AK10+AK12</f>
        <v/>
      </c>
      <c r="AL13" s="699">
        <f>AL10+AL12</f>
        <v/>
      </c>
      <c r="AM13" s="699">
        <f>AM10+AM12</f>
        <v/>
      </c>
      <c r="AN13" s="699">
        <f>AN10+AN12</f>
        <v/>
      </c>
      <c r="AO13" s="699">
        <f>AO10+AO12</f>
        <v/>
      </c>
      <c r="AP13" s="699">
        <f>AP10+AP12</f>
        <v/>
      </c>
      <c r="AQ13" s="699">
        <f>SUM(AE13:AP13)</f>
        <v/>
      </c>
      <c r="AS13" s="699">
        <f>AS10+AS12</f>
        <v/>
      </c>
      <c r="AT13" s="699">
        <f>AT10+AT12</f>
        <v/>
      </c>
      <c r="AU13" s="699">
        <f>AU10+AU12</f>
        <v/>
      </c>
      <c r="AV13" s="699">
        <f>AV10+AV12</f>
        <v/>
      </c>
      <c r="AW13" s="699">
        <f>AW10+AW12</f>
        <v/>
      </c>
      <c r="AX13" s="699">
        <f>AX10+AX12</f>
        <v/>
      </c>
      <c r="AY13" s="699">
        <f>AY10+AY12</f>
        <v/>
      </c>
      <c r="AZ13" s="699">
        <f>AZ10+AZ12</f>
        <v/>
      </c>
      <c r="BA13" s="699">
        <f>BA10+BA12</f>
        <v/>
      </c>
      <c r="BB13" s="699">
        <f>BB10+BB12</f>
        <v/>
      </c>
      <c r="BC13" s="699">
        <f>BC10+BC12</f>
        <v/>
      </c>
      <c r="BD13" s="699">
        <f>BD10+BD12</f>
        <v/>
      </c>
      <c r="BE13" s="699">
        <f>SUM(AS13:BD13)</f>
        <v/>
      </c>
      <c r="BG13" s="699">
        <f>BG10+BG12</f>
        <v/>
      </c>
      <c r="BH13" s="699">
        <f>BH10+BH12</f>
        <v/>
      </c>
      <c r="BI13" s="699">
        <f>BI10+BI12</f>
        <v/>
      </c>
      <c r="BJ13" s="699">
        <f>BJ10+BJ12</f>
        <v/>
      </c>
      <c r="BK13" s="699">
        <f>BK10+BK12</f>
        <v/>
      </c>
      <c r="BL13" s="699">
        <f>BL10+BL12</f>
        <v/>
      </c>
      <c r="BM13" s="699">
        <f>BM10+BM12</f>
        <v/>
      </c>
      <c r="BN13" s="699">
        <f>BN10+BN12</f>
        <v/>
      </c>
      <c r="BO13" s="699">
        <f>BO10+BO12</f>
        <v/>
      </c>
      <c r="BP13" s="699">
        <f>BP10+BP12</f>
        <v/>
      </c>
      <c r="BQ13" s="699">
        <f>BQ10+BQ12</f>
        <v/>
      </c>
      <c r="BR13" s="699">
        <f>BR10+BR12</f>
        <v/>
      </c>
      <c r="BS13" s="699">
        <f>BS10+BS12</f>
        <v/>
      </c>
    </row>
    <row r="14">
      <c r="A14" s="697" t="n"/>
      <c r="B14" s="698" t="n"/>
      <c r="C14" s="698" t="n"/>
      <c r="D14" s="698" t="n"/>
      <c r="E14" s="698" t="n"/>
      <c r="F14" s="698" t="n"/>
      <c r="G14" s="698" t="n"/>
      <c r="H14" s="698" t="n"/>
      <c r="I14" s="698" t="n"/>
      <c r="J14" s="698" t="n"/>
      <c r="K14" s="698" t="n"/>
      <c r="L14" s="698" t="n"/>
      <c r="M14" s="698" t="n"/>
      <c r="N14" s="698" t="n"/>
      <c r="O14" s="698" t="n"/>
      <c r="P14" s="697" t="n"/>
      <c r="Q14" s="698" t="n"/>
      <c r="R14" s="698" t="n"/>
      <c r="S14" s="698" t="n"/>
      <c r="T14" s="698" t="n"/>
      <c r="U14" s="698" t="n"/>
      <c r="V14" s="698" t="n"/>
      <c r="W14" s="701" t="n"/>
      <c r="X14" s="701" t="n"/>
      <c r="Y14" s="701" t="n"/>
      <c r="Z14" s="701" t="n"/>
      <c r="AA14" s="701" t="n"/>
      <c r="AB14" s="701" t="n"/>
      <c r="AC14" s="698" t="n"/>
      <c r="AE14" s="698" t="n"/>
      <c r="AF14" s="698" t="n"/>
      <c r="AG14" s="698" t="n"/>
      <c r="AH14" s="698" t="n"/>
      <c r="AI14" s="698" t="n"/>
      <c r="AJ14" s="698" t="n"/>
      <c r="AK14" s="698" t="n"/>
      <c r="AL14" s="698" t="n"/>
      <c r="AM14" s="698" t="n"/>
      <c r="AN14" s="698" t="n"/>
      <c r="AO14" s="698" t="n"/>
      <c r="AP14" s="698" t="n"/>
      <c r="AQ14" s="698" t="n"/>
      <c r="AS14" s="698" t="n"/>
      <c r="AT14" s="698" t="n"/>
      <c r="AU14" s="698" t="n"/>
      <c r="AV14" s="698" t="n"/>
      <c r="AW14" s="698" t="n"/>
      <c r="AX14" s="698" t="n"/>
      <c r="AY14" s="698" t="n"/>
      <c r="AZ14" s="698" t="n"/>
      <c r="BA14" s="698" t="n"/>
      <c r="BB14" s="698" t="n"/>
      <c r="BC14" s="698" t="n"/>
      <c r="BD14" s="698" t="n"/>
      <c r="BE14" s="698" t="n"/>
      <c r="BG14" s="698" t="n"/>
      <c r="BH14" s="698" t="n"/>
      <c r="BI14" s="698" t="n"/>
      <c r="BJ14" s="698" t="n"/>
      <c r="BK14" s="698" t="n"/>
      <c r="BL14" s="698" t="n"/>
      <c r="BM14" s="698" t="n"/>
      <c r="BN14" s="698" t="n"/>
      <c r="BO14" s="698" t="n"/>
      <c r="BP14" s="698" t="n"/>
      <c r="BQ14" s="698" t="n"/>
      <c r="BR14" s="698" t="n"/>
      <c r="BS14" s="698" t="n"/>
    </row>
    <row r="15">
      <c r="A15" s="697" t="inlineStr">
        <is>
          <t>Loan and Interest Payments</t>
        </is>
      </c>
      <c r="B15" s="698">
        <f>Calc!B71</f>
        <v/>
      </c>
      <c r="C15" s="698" t="n"/>
      <c r="D15" s="698">
        <f>Calc!D71</f>
        <v/>
      </c>
      <c r="E15" s="698">
        <f>Calc!E71</f>
        <v/>
      </c>
      <c r="F15" s="698">
        <f>Calc!F71</f>
        <v/>
      </c>
      <c r="G15" s="698">
        <f>Calc!G71</f>
        <v/>
      </c>
      <c r="H15" s="698">
        <f>Calc!H71</f>
        <v/>
      </c>
      <c r="I15" s="698">
        <f>Calc!I71</f>
        <v/>
      </c>
      <c r="J15" s="698">
        <f>Calc!J71</f>
        <v/>
      </c>
      <c r="K15" s="698">
        <f>Calc!K71</f>
        <v/>
      </c>
      <c r="L15" s="698">
        <f>Calc!L71</f>
        <v/>
      </c>
      <c r="M15" s="698">
        <f>Calc!M71</f>
        <v/>
      </c>
      <c r="N15" s="698">
        <f>Calc!N71</f>
        <v/>
      </c>
      <c r="O15" s="698">
        <f>SUM(B15:N15)</f>
        <v/>
      </c>
      <c r="P15" s="697" t="n"/>
      <c r="Q15" s="698">
        <f>Calc!$P$71</f>
        <v/>
      </c>
      <c r="R15" s="698">
        <f>Calc!$P$71</f>
        <v/>
      </c>
      <c r="S15" s="698">
        <f>Calc!$P$71</f>
        <v/>
      </c>
      <c r="T15" s="698">
        <f>Calc!$P$71</f>
        <v/>
      </c>
      <c r="U15" s="698">
        <f>Calc!$P$71</f>
        <v/>
      </c>
      <c r="V15" s="698">
        <f>Calc!$P$71</f>
        <v/>
      </c>
      <c r="W15" s="698">
        <f>Calc!$P$71</f>
        <v/>
      </c>
      <c r="X15" s="698">
        <f>Calc!$P$71</f>
        <v/>
      </c>
      <c r="Y15" s="698">
        <f>Calc!$P$71</f>
        <v/>
      </c>
      <c r="Z15" s="698">
        <f>Calc!$P$71</f>
        <v/>
      </c>
      <c r="AA15" s="698">
        <f>Calc!$P$71</f>
        <v/>
      </c>
      <c r="AB15" s="698">
        <f>Calc!$P$71</f>
        <v/>
      </c>
      <c r="AC15" s="698">
        <f>SUM(P15:AB15)</f>
        <v/>
      </c>
      <c r="AE15" s="698">
        <f>Calc!$P$71</f>
        <v/>
      </c>
      <c r="AF15" s="698">
        <f>Calc!$P$71</f>
        <v/>
      </c>
      <c r="AG15" s="698">
        <f>Calc!$P$71</f>
        <v/>
      </c>
      <c r="AH15" s="698">
        <f>Calc!$P$71</f>
        <v/>
      </c>
      <c r="AI15" s="698">
        <f>Calc!$P$71</f>
        <v/>
      </c>
      <c r="AJ15" s="698">
        <f>Calc!$P$71</f>
        <v/>
      </c>
      <c r="AK15" s="698">
        <f>Calc!$P$71</f>
        <v/>
      </c>
      <c r="AL15" s="698">
        <f>Calc!$P$71</f>
        <v/>
      </c>
      <c r="AM15" s="698">
        <f>Calc!$P$71</f>
        <v/>
      </c>
      <c r="AN15" s="698">
        <f>Calc!$P$71</f>
        <v/>
      </c>
      <c r="AO15" s="698">
        <f>Calc!$P$71</f>
        <v/>
      </c>
      <c r="AP15" s="698">
        <f>Calc!$P$71</f>
        <v/>
      </c>
      <c r="AQ15" s="698">
        <f>Calc!$P$71</f>
        <v/>
      </c>
      <c r="AS15" s="698">
        <f>Calc!$P$71</f>
        <v/>
      </c>
      <c r="AT15" s="698">
        <f>Calc!$P$71</f>
        <v/>
      </c>
      <c r="AU15" s="698">
        <f>Calc!$P$71</f>
        <v/>
      </c>
      <c r="AV15" s="698">
        <f>Calc!$P$71</f>
        <v/>
      </c>
      <c r="AW15" s="698">
        <f>Calc!$P$71</f>
        <v/>
      </c>
      <c r="AX15" s="698">
        <f>Calc!$P$71</f>
        <v/>
      </c>
      <c r="AY15" s="698">
        <f>Calc!$P$71</f>
        <v/>
      </c>
      <c r="AZ15" s="698">
        <f>Calc!$P$71</f>
        <v/>
      </c>
      <c r="BA15" s="698">
        <f>Calc!$P$71</f>
        <v/>
      </c>
      <c r="BB15" s="698">
        <f>Calc!$P$71</f>
        <v/>
      </c>
      <c r="BC15" s="698">
        <f>Calc!$P$71</f>
        <v/>
      </c>
      <c r="BD15" s="698">
        <f>Calc!$P$71</f>
        <v/>
      </c>
      <c r="BE15" s="698">
        <f>Calc!$P$71</f>
        <v/>
      </c>
      <c r="BG15" s="698">
        <f>Calc!$P$71</f>
        <v/>
      </c>
      <c r="BH15" s="698">
        <f>Calc!$P$71</f>
        <v/>
      </c>
      <c r="BI15" s="698">
        <f>Calc!$P$71</f>
        <v/>
      </c>
      <c r="BJ15" s="698">
        <f>Calc!$P$71</f>
        <v/>
      </c>
      <c r="BK15" s="698">
        <f>Calc!$P$71</f>
        <v/>
      </c>
      <c r="BL15" s="698">
        <f>Calc!$P$71</f>
        <v/>
      </c>
      <c r="BM15" s="698">
        <f>Calc!$P$71</f>
        <v/>
      </c>
      <c r="BN15" s="698">
        <f>Calc!$P$71</f>
        <v/>
      </c>
      <c r="BO15" s="698">
        <f>Calc!$P$71</f>
        <v/>
      </c>
      <c r="BP15" s="698">
        <f>Calc!$P$71</f>
        <v/>
      </c>
      <c r="BQ15" s="698">
        <f>Calc!$P$71</f>
        <v/>
      </c>
      <c r="BR15" s="698">
        <f>Calc!$P$71</f>
        <v/>
      </c>
      <c r="BS15" s="698">
        <f>Calc!$P$71</f>
        <v/>
      </c>
    </row>
    <row r="16">
      <c r="A16" s="697" t="inlineStr">
        <is>
          <t>Loan/ other cash inj.</t>
        </is>
      </c>
      <c r="B16" s="698">
        <f>Calc!B72</f>
        <v/>
      </c>
      <c r="C16" s="698">
        <f>Calc!C72</f>
        <v/>
      </c>
      <c r="D16" s="698">
        <f>Calc!D72</f>
        <v/>
      </c>
      <c r="E16" s="698">
        <f>Calc!E72</f>
        <v/>
      </c>
      <c r="F16" s="698">
        <f>Calc!F72</f>
        <v/>
      </c>
      <c r="G16" s="698">
        <f>Calc!G72</f>
        <v/>
      </c>
      <c r="H16" s="698">
        <f>Calc!H72</f>
        <v/>
      </c>
      <c r="I16" s="698">
        <f>Calc!I72</f>
        <v/>
      </c>
      <c r="J16" s="698">
        <f>Calc!J72</f>
        <v/>
      </c>
      <c r="K16" s="698">
        <f>Calc!K72</f>
        <v/>
      </c>
      <c r="L16" s="698">
        <f>Calc!L72</f>
        <v/>
      </c>
      <c r="M16" s="698">
        <f>Calc!M72</f>
        <v/>
      </c>
      <c r="N16" s="698">
        <f>Calc!N72</f>
        <v/>
      </c>
      <c r="O16" s="698">
        <f>SUM(B16:N16)</f>
        <v/>
      </c>
      <c r="P16" s="697" t="n"/>
      <c r="Q16" s="698">
        <f>Calc!$P$72</f>
        <v/>
      </c>
      <c r="R16" s="698">
        <f>Calc!$P$72</f>
        <v/>
      </c>
      <c r="S16" s="698">
        <f>Calc!$P$72</f>
        <v/>
      </c>
      <c r="T16" s="698">
        <f>Calc!$P$72</f>
        <v/>
      </c>
      <c r="U16" s="698">
        <f>Calc!$P$72</f>
        <v/>
      </c>
      <c r="V16" s="698">
        <f>Calc!$P$72</f>
        <v/>
      </c>
      <c r="W16" s="698">
        <f>Calc!$P$72</f>
        <v/>
      </c>
      <c r="X16" s="698">
        <f>Calc!$P$72</f>
        <v/>
      </c>
      <c r="Y16" s="698">
        <f>Calc!$P$72</f>
        <v/>
      </c>
      <c r="Z16" s="698">
        <f>Calc!$P$72</f>
        <v/>
      </c>
      <c r="AA16" s="698">
        <f>Calc!$P$72</f>
        <v/>
      </c>
      <c r="AB16" s="698">
        <f>Calc!$P$72</f>
        <v/>
      </c>
      <c r="AC16" s="698">
        <f>SUM(P16:AB16)</f>
        <v/>
      </c>
      <c r="AE16" s="698">
        <f>Calc!$P$72</f>
        <v/>
      </c>
      <c r="AF16" s="698">
        <f>Calc!$P$72</f>
        <v/>
      </c>
      <c r="AG16" s="698">
        <f>Calc!$P$72</f>
        <v/>
      </c>
      <c r="AH16" s="698">
        <f>Calc!$P$72</f>
        <v/>
      </c>
      <c r="AI16" s="698">
        <f>Calc!$P$72</f>
        <v/>
      </c>
      <c r="AJ16" s="698">
        <f>Calc!$P$72</f>
        <v/>
      </c>
      <c r="AK16" s="698">
        <f>Calc!$P$72</f>
        <v/>
      </c>
      <c r="AL16" s="698">
        <f>Calc!$P$72</f>
        <v/>
      </c>
      <c r="AM16" s="698">
        <f>Calc!$P$72</f>
        <v/>
      </c>
      <c r="AN16" s="698">
        <f>Calc!$P$72</f>
        <v/>
      </c>
      <c r="AO16" s="698">
        <f>Calc!$P$72</f>
        <v/>
      </c>
      <c r="AP16" s="698">
        <f>Calc!$P$72</f>
        <v/>
      </c>
      <c r="AQ16" s="698">
        <f>Calc!$P$72</f>
        <v/>
      </c>
      <c r="AS16" s="698">
        <f>Calc!$P$72</f>
        <v/>
      </c>
      <c r="AT16" s="698">
        <f>Calc!$P$72</f>
        <v/>
      </c>
      <c r="AU16" s="698">
        <f>Calc!$P$72</f>
        <v/>
      </c>
      <c r="AV16" s="698">
        <f>Calc!$P$72</f>
        <v/>
      </c>
      <c r="AW16" s="698">
        <f>Calc!$P$72</f>
        <v/>
      </c>
      <c r="AX16" s="698">
        <f>Calc!$P$72</f>
        <v/>
      </c>
      <c r="AY16" s="698">
        <f>Calc!$P$72</f>
        <v/>
      </c>
      <c r="AZ16" s="698">
        <f>Calc!$P$72</f>
        <v/>
      </c>
      <c r="BA16" s="698">
        <f>Calc!$P$72</f>
        <v/>
      </c>
      <c r="BB16" s="698">
        <f>Calc!$P$72</f>
        <v/>
      </c>
      <c r="BC16" s="698">
        <f>Calc!$P$72</f>
        <v/>
      </c>
      <c r="BD16" s="698">
        <f>Calc!$P$72</f>
        <v/>
      </c>
      <c r="BE16" s="698">
        <f>Calc!$P$72</f>
        <v/>
      </c>
      <c r="BG16" s="698">
        <f>Calc!$P$72</f>
        <v/>
      </c>
      <c r="BH16" s="698">
        <f>Calc!$P$72</f>
        <v/>
      </c>
      <c r="BI16" s="698">
        <f>Calc!$P$72</f>
        <v/>
      </c>
      <c r="BJ16" s="698">
        <f>Calc!$P$72</f>
        <v/>
      </c>
      <c r="BK16" s="698">
        <f>Calc!$P$72</f>
        <v/>
      </c>
      <c r="BL16" s="698">
        <f>Calc!$P$72</f>
        <v/>
      </c>
      <c r="BM16" s="698">
        <f>Calc!$P$72</f>
        <v/>
      </c>
      <c r="BN16" s="698">
        <f>Calc!$P$72</f>
        <v/>
      </c>
      <c r="BO16" s="698">
        <f>Calc!$P$72</f>
        <v/>
      </c>
      <c r="BP16" s="698">
        <f>Calc!$P$72</f>
        <v/>
      </c>
      <c r="BQ16" s="698">
        <f>Calc!$P$72</f>
        <v/>
      </c>
      <c r="BR16" s="698">
        <f>Calc!$P$72</f>
        <v/>
      </c>
      <c r="BS16" s="698">
        <f>Calc!$P$72</f>
        <v/>
      </c>
    </row>
    <row r="17">
      <c r="A17" s="697" t="inlineStr">
        <is>
          <t>CASH FROM Non-operating act.</t>
        </is>
      </c>
      <c r="B17" s="698">
        <f>B15+B16</f>
        <v/>
      </c>
      <c r="C17" s="698">
        <f>C15+C16</f>
        <v/>
      </c>
      <c r="D17" s="698">
        <f>D15+D16</f>
        <v/>
      </c>
      <c r="E17" s="698">
        <f>E15+E16</f>
        <v/>
      </c>
      <c r="F17" s="698">
        <f>F15+F16</f>
        <v/>
      </c>
      <c r="G17" s="698">
        <f>G15+G16</f>
        <v/>
      </c>
      <c r="H17" s="698">
        <f>H15+H16</f>
        <v/>
      </c>
      <c r="I17" s="698">
        <f>I15+I16</f>
        <v/>
      </c>
      <c r="J17" s="698">
        <f>J15+J16</f>
        <v/>
      </c>
      <c r="K17" s="698">
        <f>K15+K16</f>
        <v/>
      </c>
      <c r="L17" s="698">
        <f>L15+L16</f>
        <v/>
      </c>
      <c r="M17" s="698">
        <f>M15+M16</f>
        <v/>
      </c>
      <c r="N17" s="698">
        <f>N15+N16</f>
        <v/>
      </c>
      <c r="O17" s="698">
        <f>O15+O16</f>
        <v/>
      </c>
      <c r="P17" s="697" t="n"/>
      <c r="Q17" s="698">
        <f>Q15+Q16</f>
        <v/>
      </c>
      <c r="R17" s="698">
        <f>R15+R16</f>
        <v/>
      </c>
      <c r="S17" s="698">
        <f>S15+S16</f>
        <v/>
      </c>
      <c r="T17" s="698">
        <f>T15+T16</f>
        <v/>
      </c>
      <c r="U17" s="698">
        <f>U15+U16</f>
        <v/>
      </c>
      <c r="V17" s="698">
        <f>V15+V16</f>
        <v/>
      </c>
      <c r="W17" s="698">
        <f>W15+W16</f>
        <v/>
      </c>
      <c r="X17" s="698">
        <f>X15+X16</f>
        <v/>
      </c>
      <c r="Y17" s="698">
        <f>Y15+Y16</f>
        <v/>
      </c>
      <c r="Z17" s="698">
        <f>Z15+Z16</f>
        <v/>
      </c>
      <c r="AA17" s="698">
        <f>AA15+AA16</f>
        <v/>
      </c>
      <c r="AB17" s="698">
        <f>AB15+AB16</f>
        <v/>
      </c>
      <c r="AC17" s="698">
        <f>AC15+AC16</f>
        <v/>
      </c>
      <c r="AE17" s="698">
        <f>AE15+AE16</f>
        <v/>
      </c>
      <c r="AF17" s="698">
        <f>AF15+AF16</f>
        <v/>
      </c>
      <c r="AG17" s="698">
        <f>AG15+AG16</f>
        <v/>
      </c>
      <c r="AH17" s="698">
        <f>AH15+AH16</f>
        <v/>
      </c>
      <c r="AI17" s="698">
        <f>AI15+AI16</f>
        <v/>
      </c>
      <c r="AJ17" s="698">
        <f>AJ15+AJ16</f>
        <v/>
      </c>
      <c r="AK17" s="698">
        <f>AK15+AK16</f>
        <v/>
      </c>
      <c r="AL17" s="698">
        <f>AL15+AL16</f>
        <v/>
      </c>
      <c r="AM17" s="698">
        <f>AM15+AM16</f>
        <v/>
      </c>
      <c r="AN17" s="698">
        <f>AN15+AN16</f>
        <v/>
      </c>
      <c r="AO17" s="698">
        <f>AO15+AO16</f>
        <v/>
      </c>
      <c r="AP17" s="698">
        <f>AP15+AP16</f>
        <v/>
      </c>
      <c r="AQ17" s="698">
        <f>AQ15+AQ16</f>
        <v/>
      </c>
      <c r="AS17" s="698">
        <f>AS15+AS16</f>
        <v/>
      </c>
      <c r="AT17" s="698">
        <f>AT15+AT16</f>
        <v/>
      </c>
      <c r="AU17" s="698">
        <f>AU15+AU16</f>
        <v/>
      </c>
      <c r="AV17" s="698">
        <f>AV15+AV16</f>
        <v/>
      </c>
      <c r="AW17" s="698">
        <f>AW15+AW16</f>
        <v/>
      </c>
      <c r="AX17" s="698">
        <f>AX15+AX16</f>
        <v/>
      </c>
      <c r="AY17" s="698">
        <f>AY15+AY16</f>
        <v/>
      </c>
      <c r="AZ17" s="698">
        <f>AZ15+AZ16</f>
        <v/>
      </c>
      <c r="BA17" s="698">
        <f>BA15+BA16</f>
        <v/>
      </c>
      <c r="BB17" s="698">
        <f>BB15+BB16</f>
        <v/>
      </c>
      <c r="BC17" s="698">
        <f>BC15+BC16</f>
        <v/>
      </c>
      <c r="BD17" s="698">
        <f>BD15+BD16</f>
        <v/>
      </c>
      <c r="BE17" s="698">
        <f>BE15+BE16</f>
        <v/>
      </c>
      <c r="BG17" s="698">
        <f>BG15+BG16</f>
        <v/>
      </c>
      <c r="BH17" s="698">
        <f>BH15+BH16</f>
        <v/>
      </c>
      <c r="BI17" s="698">
        <f>BI15+BI16</f>
        <v/>
      </c>
      <c r="BJ17" s="698">
        <f>BJ15+BJ16</f>
        <v/>
      </c>
      <c r="BK17" s="698">
        <f>BK15+BK16</f>
        <v/>
      </c>
      <c r="BL17" s="698">
        <f>BL15+BL16</f>
        <v/>
      </c>
      <c r="BM17" s="698">
        <f>BM15+BM16</f>
        <v/>
      </c>
      <c r="BN17" s="698">
        <f>BN15+BN16</f>
        <v/>
      </c>
      <c r="BO17" s="698">
        <f>BO15+BO16</f>
        <v/>
      </c>
      <c r="BP17" s="698">
        <f>BP15+BP16</f>
        <v/>
      </c>
      <c r="BQ17" s="698">
        <f>BQ15+BQ16</f>
        <v/>
      </c>
      <c r="BR17" s="698">
        <f>BR15+BR16</f>
        <v/>
      </c>
      <c r="BS17" s="698">
        <f>BS15+BS16</f>
        <v/>
      </c>
    </row>
    <row r="18">
      <c r="A18" s="697" t="n"/>
      <c r="B18" s="697" t="n"/>
      <c r="C18" s="697" t="n"/>
      <c r="D18" s="697" t="n"/>
      <c r="E18" s="697" t="n"/>
      <c r="F18" s="697" t="n"/>
      <c r="G18" s="697" t="n"/>
      <c r="H18" s="697" t="n"/>
      <c r="I18" s="697" t="n"/>
      <c r="J18" s="697" t="n"/>
      <c r="K18" s="697" t="n"/>
      <c r="L18" s="697" t="n"/>
      <c r="M18" s="697" t="n"/>
      <c r="N18" s="697" t="n"/>
      <c r="O18" s="697" t="n"/>
      <c r="P18" s="697" t="n"/>
      <c r="Q18" s="698" t="n"/>
      <c r="R18" s="698" t="n"/>
      <c r="S18" s="698" t="n"/>
      <c r="T18" s="698" t="n"/>
      <c r="U18" s="698" t="n"/>
      <c r="V18" s="698" t="n"/>
      <c r="W18" s="701" t="n"/>
      <c r="X18" s="701" t="n"/>
      <c r="Y18" s="701" t="n"/>
      <c r="Z18" s="701" t="n"/>
      <c r="AA18" s="701" t="n"/>
      <c r="AB18" s="701" t="n"/>
      <c r="AC18" s="697" t="n"/>
      <c r="AE18" s="697" t="n"/>
      <c r="AF18" s="697" t="n"/>
      <c r="AG18" s="697" t="n"/>
      <c r="AH18" s="697" t="n"/>
      <c r="AI18" s="697" t="n"/>
      <c r="AJ18" s="697" t="n"/>
      <c r="AK18" s="697" t="n"/>
      <c r="AL18" s="697" t="n"/>
      <c r="AM18" s="697" t="n"/>
      <c r="AN18" s="697" t="n"/>
      <c r="AO18" s="697" t="n"/>
      <c r="AP18" s="697" t="n"/>
      <c r="AQ18" s="697" t="n"/>
      <c r="AS18" s="697" t="n"/>
      <c r="AT18" s="697" t="n"/>
      <c r="AU18" s="697" t="n"/>
      <c r="AV18" s="697" t="n"/>
      <c r="AW18" s="697" t="n"/>
      <c r="AX18" s="697" t="n"/>
      <c r="AY18" s="697" t="n"/>
      <c r="AZ18" s="697" t="n"/>
      <c r="BA18" s="697" t="n"/>
      <c r="BB18" s="697" t="n"/>
      <c r="BC18" s="697" t="n"/>
      <c r="BD18" s="697" t="n"/>
      <c r="BE18" s="697" t="n"/>
      <c r="BG18" s="697" t="n"/>
      <c r="BH18" s="697" t="n"/>
      <c r="BI18" s="697" t="n"/>
      <c r="BJ18" s="697" t="n"/>
      <c r="BK18" s="697" t="n"/>
      <c r="BL18" s="697" t="n"/>
      <c r="BM18" s="697" t="n"/>
      <c r="BN18" s="697" t="n"/>
      <c r="BO18" s="697" t="n"/>
      <c r="BP18" s="697" t="n"/>
      <c r="BQ18" s="697" t="n"/>
      <c r="BR18" s="697" t="n"/>
      <c r="BS18" s="697" t="n"/>
    </row>
    <row r="19">
      <c r="A19" s="697" t="inlineStr">
        <is>
          <t>TOTAL CASH FLOW FOR MONTH</t>
        </is>
      </c>
      <c r="B19" s="698">
        <f>B13+B17</f>
        <v/>
      </c>
      <c r="C19" s="698">
        <f>C13+C17</f>
        <v/>
      </c>
      <c r="D19" s="698">
        <f>D13+D17</f>
        <v/>
      </c>
      <c r="E19" s="698">
        <f>E13+E17</f>
        <v/>
      </c>
      <c r="F19" s="698">
        <f>F13+F17</f>
        <v/>
      </c>
      <c r="G19" s="698">
        <f>G13+G17</f>
        <v/>
      </c>
      <c r="H19" s="698">
        <f>H13+H17</f>
        <v/>
      </c>
      <c r="I19" s="698">
        <f>I13+I17</f>
        <v/>
      </c>
      <c r="J19" s="698">
        <f>J13+J17</f>
        <v/>
      </c>
      <c r="K19" s="698">
        <f>K13+K17</f>
        <v/>
      </c>
      <c r="L19" s="698">
        <f>L13+L17</f>
        <v/>
      </c>
      <c r="M19" s="698">
        <f>M13+M17</f>
        <v/>
      </c>
      <c r="N19" s="698">
        <f>N13+N17</f>
        <v/>
      </c>
      <c r="O19" s="698">
        <f>O13+O17</f>
        <v/>
      </c>
      <c r="P19" s="697" t="n"/>
      <c r="Q19" s="698">
        <f>Q13+Q17</f>
        <v/>
      </c>
      <c r="R19" s="698">
        <f>R13+R17</f>
        <v/>
      </c>
      <c r="S19" s="698">
        <f>S13+S17</f>
        <v/>
      </c>
      <c r="T19" s="698">
        <f>T13+T17</f>
        <v/>
      </c>
      <c r="U19" s="698">
        <f>U13+U17</f>
        <v/>
      </c>
      <c r="V19" s="698">
        <f>V13+V17</f>
        <v/>
      </c>
      <c r="W19" s="698">
        <f>W13+W17</f>
        <v/>
      </c>
      <c r="X19" s="698">
        <f>X13+X17</f>
        <v/>
      </c>
      <c r="Y19" s="698">
        <f>Y13+Y17</f>
        <v/>
      </c>
      <c r="Z19" s="698">
        <f>Z13+Z17</f>
        <v/>
      </c>
      <c r="AA19" s="698">
        <f>AA13+AA17</f>
        <v/>
      </c>
      <c r="AB19" s="698">
        <f>AB13+AB17</f>
        <v/>
      </c>
      <c r="AC19" s="698">
        <f>AC13+AC17</f>
        <v/>
      </c>
      <c r="AE19" s="698">
        <f>AE13+AE17</f>
        <v/>
      </c>
      <c r="AF19" s="698">
        <f>AF13+AF17</f>
        <v/>
      </c>
      <c r="AG19" s="698">
        <f>AG13+AG17</f>
        <v/>
      </c>
      <c r="AH19" s="698">
        <f>AH13+AH17</f>
        <v/>
      </c>
      <c r="AI19" s="698">
        <f>AI13+AI17</f>
        <v/>
      </c>
      <c r="AJ19" s="698">
        <f>AJ13+AJ17</f>
        <v/>
      </c>
      <c r="AK19" s="698">
        <f>AK13+AK17</f>
        <v/>
      </c>
      <c r="AL19" s="698">
        <f>AL13+AL17</f>
        <v/>
      </c>
      <c r="AM19" s="698">
        <f>AM13+AM17</f>
        <v/>
      </c>
      <c r="AN19" s="698">
        <f>AN13+AN17</f>
        <v/>
      </c>
      <c r="AO19" s="698">
        <f>AO13+AO17</f>
        <v/>
      </c>
      <c r="AP19" s="698">
        <f>AP13+AP17</f>
        <v/>
      </c>
      <c r="AQ19" s="698">
        <f>AQ13+AQ17</f>
        <v/>
      </c>
      <c r="AS19" s="698">
        <f>AS13+AS17</f>
        <v/>
      </c>
      <c r="AT19" s="698">
        <f>AT13+AT17</f>
        <v/>
      </c>
      <c r="AU19" s="698">
        <f>AU13+AU17</f>
        <v/>
      </c>
      <c r="AV19" s="698">
        <f>AV13+AV17</f>
        <v/>
      </c>
      <c r="AW19" s="698">
        <f>AW13+AW17</f>
        <v/>
      </c>
      <c r="AX19" s="698">
        <f>AX13+AX17</f>
        <v/>
      </c>
      <c r="AY19" s="698">
        <f>AY13+AY17</f>
        <v/>
      </c>
      <c r="AZ19" s="698">
        <f>AZ13+AZ17</f>
        <v/>
      </c>
      <c r="BA19" s="698">
        <f>BA13+BA17</f>
        <v/>
      </c>
      <c r="BB19" s="698">
        <f>BB13+BB17</f>
        <v/>
      </c>
      <c r="BC19" s="698">
        <f>BC13+BC17</f>
        <v/>
      </c>
      <c r="BD19" s="698">
        <f>BD13+BD17</f>
        <v/>
      </c>
      <c r="BE19" s="698">
        <f>BE13+BE17</f>
        <v/>
      </c>
      <c r="BG19" s="698">
        <f>BG13+BG17</f>
        <v/>
      </c>
      <c r="BH19" s="698">
        <f>BH13+BH17</f>
        <v/>
      </c>
      <c r="BI19" s="698">
        <f>BI13+BI17</f>
        <v/>
      </c>
      <c r="BJ19" s="698">
        <f>BJ13+BJ17</f>
        <v/>
      </c>
      <c r="BK19" s="698">
        <f>BK13+BK17</f>
        <v/>
      </c>
      <c r="BL19" s="698">
        <f>BL13+BL17</f>
        <v/>
      </c>
      <c r="BM19" s="698">
        <f>BM13+BM17</f>
        <v/>
      </c>
      <c r="BN19" s="698">
        <f>BN13+BN17</f>
        <v/>
      </c>
      <c r="BO19" s="698">
        <f>BO13+BO17</f>
        <v/>
      </c>
      <c r="BP19" s="698">
        <f>BP13+BP17</f>
        <v/>
      </c>
      <c r="BQ19" s="698">
        <f>BQ13+BQ17</f>
        <v/>
      </c>
      <c r="BR19" s="698">
        <f>BR13+BR17</f>
        <v/>
      </c>
      <c r="BS19" s="698">
        <f>BS13+BS17</f>
        <v/>
      </c>
    </row>
    <row r="20">
      <c r="A20" s="697" t="inlineStr">
        <is>
          <t>Cash Position (end of month)</t>
        </is>
      </c>
      <c r="B20" s="698">
        <f>B8+B19</f>
        <v/>
      </c>
      <c r="C20" s="698">
        <f>C8+C19</f>
        <v/>
      </c>
      <c r="D20" s="698">
        <f>D8+D19</f>
        <v/>
      </c>
      <c r="E20" s="698">
        <f>E8+E19</f>
        <v/>
      </c>
      <c r="F20" s="698">
        <f>F8+F19</f>
        <v/>
      </c>
      <c r="G20" s="698">
        <f>G8+G19</f>
        <v/>
      </c>
      <c r="H20" s="698">
        <f>H8+H19</f>
        <v/>
      </c>
      <c r="I20" s="698">
        <f>I8+I19</f>
        <v/>
      </c>
      <c r="J20" s="698">
        <f>J8+J19</f>
        <v/>
      </c>
      <c r="K20" s="698">
        <f>K8+K19</f>
        <v/>
      </c>
      <c r="L20" s="698">
        <f>L8+L19</f>
        <v/>
      </c>
      <c r="M20" s="698">
        <f>M8+M19</f>
        <v/>
      </c>
      <c r="N20" s="698">
        <f>N8+N19</f>
        <v/>
      </c>
      <c r="O20" s="698">
        <f>O8+O19</f>
        <v/>
      </c>
      <c r="P20" s="697" t="n"/>
      <c r="Q20" s="698">
        <f>Q8+Q19</f>
        <v/>
      </c>
      <c r="R20" s="698">
        <f>R8+R19</f>
        <v/>
      </c>
      <c r="S20" s="698">
        <f>S8+S19</f>
        <v/>
      </c>
      <c r="T20" s="698">
        <f>T8+T19</f>
        <v/>
      </c>
      <c r="U20" s="698">
        <f>U8+U19</f>
        <v/>
      </c>
      <c r="V20" s="698">
        <f>V8+V19</f>
        <v/>
      </c>
      <c r="W20" s="698">
        <f>W8+W19</f>
        <v/>
      </c>
      <c r="X20" s="698">
        <f>X8+X19</f>
        <v/>
      </c>
      <c r="Y20" s="698">
        <f>Y8+Y19</f>
        <v/>
      </c>
      <c r="Z20" s="698">
        <f>Z8+Z19</f>
        <v/>
      </c>
      <c r="AA20" s="698">
        <f>AA8+AA19</f>
        <v/>
      </c>
      <c r="AB20" s="698">
        <f>AB8+AB19</f>
        <v/>
      </c>
      <c r="AC20" s="698">
        <f>AC8+AC19</f>
        <v/>
      </c>
      <c r="AE20" s="698">
        <f>AE8+AE19</f>
        <v/>
      </c>
      <c r="AF20" s="698">
        <f>AF8+AF19</f>
        <v/>
      </c>
      <c r="AG20" s="698">
        <f>AG8+AG19</f>
        <v/>
      </c>
      <c r="AH20" s="698">
        <f>AH8+AH19</f>
        <v/>
      </c>
      <c r="AI20" s="698">
        <f>AI8+AI19</f>
        <v/>
      </c>
      <c r="AJ20" s="698">
        <f>AJ8+AJ19</f>
        <v/>
      </c>
      <c r="AK20" s="698">
        <f>AK8+AK19</f>
        <v/>
      </c>
      <c r="AL20" s="698">
        <f>AL8+AL19</f>
        <v/>
      </c>
      <c r="AM20" s="698">
        <f>AM8+AM19</f>
        <v/>
      </c>
      <c r="AN20" s="698">
        <f>AN8+AN19</f>
        <v/>
      </c>
      <c r="AO20" s="698">
        <f>AO8+AO19</f>
        <v/>
      </c>
      <c r="AP20" s="698">
        <f>AP8+AP19</f>
        <v/>
      </c>
      <c r="AQ20" s="698">
        <f>AQ8+AQ19</f>
        <v/>
      </c>
      <c r="AS20" s="698">
        <f>AS8+AS19</f>
        <v/>
      </c>
      <c r="AT20" s="698">
        <f>AT8+AT19</f>
        <v/>
      </c>
      <c r="AU20" s="698">
        <f>AU8+AU19</f>
        <v/>
      </c>
      <c r="AV20" s="698">
        <f>AV8+AV19</f>
        <v/>
      </c>
      <c r="AW20" s="698">
        <f>AW8+AW19</f>
        <v/>
      </c>
      <c r="AX20" s="698">
        <f>AX8+AX19</f>
        <v/>
      </c>
      <c r="AY20" s="698">
        <f>AY8+AY19</f>
        <v/>
      </c>
      <c r="AZ20" s="698">
        <f>AZ8+AZ19</f>
        <v/>
      </c>
      <c r="BA20" s="698">
        <f>BA8+BA19</f>
        <v/>
      </c>
      <c r="BB20" s="698">
        <f>BB8+BB19</f>
        <v/>
      </c>
      <c r="BC20" s="698">
        <f>BC8+BC19</f>
        <v/>
      </c>
      <c r="BD20" s="698">
        <f>BD8+BD19</f>
        <v/>
      </c>
      <c r="BE20" s="698">
        <f>BE8+BE19</f>
        <v/>
      </c>
      <c r="BG20" s="698">
        <f>BG8+BG19</f>
        <v/>
      </c>
      <c r="BH20" s="698">
        <f>BH8+BH19</f>
        <v/>
      </c>
      <c r="BI20" s="698">
        <f>BI8+BI19</f>
        <v/>
      </c>
      <c r="BJ20" s="698">
        <f>BJ8+BJ19</f>
        <v/>
      </c>
      <c r="BK20" s="698">
        <f>BK8+BK19</f>
        <v/>
      </c>
      <c r="BL20" s="698">
        <f>BL8+BL19</f>
        <v/>
      </c>
      <c r="BM20" s="698">
        <f>BM8+BM19</f>
        <v/>
      </c>
      <c r="BN20" s="698">
        <f>BN8+BN19</f>
        <v/>
      </c>
      <c r="BO20" s="698">
        <f>BO8+BO19</f>
        <v/>
      </c>
      <c r="BP20" s="698">
        <f>BP8+BP19</f>
        <v/>
      </c>
      <c r="BQ20" s="698">
        <f>BQ8+BQ19</f>
        <v/>
      </c>
      <c r="BR20" s="698">
        <f>BR8+BR19</f>
        <v/>
      </c>
      <c r="BS20" s="698">
        <f>BS8+BS19</f>
        <v/>
      </c>
    </row>
    <row r="21">
      <c r="B21" s="697" t="n"/>
      <c r="C21" s="697" t="n"/>
      <c r="D21" s="697" t="n"/>
      <c r="E21" s="697" t="n"/>
      <c r="F21" s="697" t="n"/>
      <c r="G21" s="697" t="n"/>
      <c r="H21" s="697" t="n"/>
      <c r="I21" s="697" t="n"/>
      <c r="J21" s="697" t="n"/>
      <c r="K21" s="697" t="n"/>
      <c r="L21" s="697" t="n"/>
      <c r="M21" s="697" t="n"/>
      <c r="N21" s="697" t="n"/>
      <c r="O21" s="697" t="n"/>
      <c r="P21" s="697" t="n"/>
      <c r="Q21" s="697" t="n"/>
      <c r="R21" s="697" t="n"/>
      <c r="S21" s="697" t="n"/>
      <c r="T21" s="697" t="n"/>
      <c r="U21" s="697" t="n"/>
      <c r="V21" s="697" t="n"/>
      <c r="AE21" s="60" t="n"/>
      <c r="AF21" s="60" t="n"/>
      <c r="AG21" s="60" t="n"/>
      <c r="AH21" s="60" t="n"/>
      <c r="AI21" s="60" t="n"/>
      <c r="AJ21" s="60" t="n"/>
      <c r="AK21" s="60" t="n"/>
      <c r="AL21" s="60" t="n"/>
      <c r="AM21" s="60" t="n"/>
      <c r="AN21" s="60" t="n"/>
      <c r="AO21" s="60" t="n"/>
      <c r="AP21" s="60" t="n"/>
      <c r="AQ21" s="60" t="n"/>
    </row>
    <row r="22">
      <c r="B22" s="697" t="n"/>
      <c r="C22" s="697" t="n"/>
      <c r="D22" s="697" t="n"/>
      <c r="E22" s="697" t="n"/>
      <c r="F22" s="697" t="n"/>
      <c r="G22" s="697" t="n"/>
      <c r="H22" s="697" t="n"/>
      <c r="I22" s="697" t="n"/>
      <c r="J22" s="697" t="n"/>
      <c r="K22" s="697" t="n"/>
      <c r="L22" s="697" t="n"/>
      <c r="M22" s="697" t="n"/>
      <c r="N22" s="697" t="n"/>
      <c r="O22" s="697" t="n"/>
      <c r="P22" s="697" t="n"/>
      <c r="Q22" s="697" t="n"/>
      <c r="R22" s="697" t="n"/>
      <c r="S22" s="697" t="n"/>
      <c r="T22" s="697" t="n"/>
      <c r="U22" s="697" t="n"/>
      <c r="V22" s="697" t="n"/>
    </row>
    <row r="23">
      <c r="B23" s="697" t="n"/>
      <c r="C23" s="697" t="n"/>
      <c r="D23" s="697" t="n"/>
      <c r="E23" s="697" t="n"/>
      <c r="F23" s="697" t="n"/>
      <c r="G23" s="697" t="n"/>
      <c r="H23" s="697" t="n"/>
      <c r="I23" s="697" t="n"/>
      <c r="J23" s="697" t="n"/>
      <c r="K23" s="697" t="n"/>
      <c r="L23" s="697" t="n"/>
      <c r="M23" s="697" t="n"/>
      <c r="N23" s="697" t="n"/>
      <c r="O23" s="697" t="n"/>
      <c r="P23" s="697" t="n"/>
      <c r="Q23" s="697" t="n"/>
      <c r="R23" s="697" t="n"/>
      <c r="S23" s="697" t="n"/>
      <c r="T23" s="697" t="n"/>
      <c r="U23" s="697" t="n"/>
      <c r="V23" s="697" t="n"/>
    </row>
  </sheetData>
  <mergeCells count="5">
    <mergeCell ref="B5:C5"/>
    <mergeCell ref="Q5:R5"/>
    <mergeCell ref="AE5:AF5"/>
    <mergeCell ref="BG5:BH5"/>
    <mergeCell ref="AS5:AT5"/>
  </mergeCells>
  <pageMargins left="0.7" right="0.7" top="0.75" bottom="0.75" header="0.3" footer="0.3"/>
  <pageSetup orientation="landscape" paperSize="9" scale="63"/>
  <headerFooter>
    <oddHeader>&amp;C&amp;F!&amp;A&amp;P&amp;N</oddHeader>
    <oddFooter>&amp;CPage 8 of 12&amp;R?2016</oddFooter>
    <evenHeader/>
    <evenFooter/>
    <firstHeader/>
    <firstFooter/>
  </headerFooter>
  <colBreaks count="4" manualBreakCount="4">
    <brk id="15" min="0" max="20" man="1"/>
    <brk id="29" min="0" max="20" man="1"/>
    <brk id="43" min="0" max="20" man="1"/>
    <brk id="57" min="0" max="20" man="1"/>
  </colBreaks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9">
    <outlinePr summaryBelow="1" summaryRight="1"/>
    <pageSetUpPr/>
  </sheetPr>
  <dimension ref="A1:M72"/>
  <sheetViews>
    <sheetView view="pageBreakPreview" zoomScale="115" zoomScaleNormal="100" zoomScaleSheetLayoutView="115" workbookViewId="0">
      <selection activeCell="B16" sqref="B16:B21"/>
    </sheetView>
  </sheetViews>
  <sheetFormatPr baseColWidth="8" defaultColWidth="9.140625" defaultRowHeight="15"/>
  <cols>
    <col width="1.85546875" customWidth="1" style="709" min="1" max="1"/>
    <col width="32.140625" bestFit="1" customWidth="1" style="710" min="2" max="2"/>
    <col width="15.7109375" customWidth="1" style="710" min="3" max="3"/>
    <col width="1.28515625" customWidth="1" style="710" min="4" max="4"/>
    <col width="15.7109375" customWidth="1" style="7" min="5" max="5"/>
    <col width="1.28515625" customWidth="1" style="7" min="6" max="6"/>
    <col width="15.7109375" customWidth="1" style="7" min="7" max="7"/>
    <col width="1.28515625" customWidth="1" style="7" min="8" max="8"/>
    <col width="15.7109375" customWidth="1" style="7" min="9" max="9"/>
    <col width="1.28515625" customWidth="1" style="7" min="10" max="10"/>
    <col width="15.7109375" customWidth="1" style="7" min="11" max="11"/>
    <col width="9.140625" customWidth="1" style="7" min="12" max="16384"/>
  </cols>
  <sheetData>
    <row r="1">
      <c r="A1" s="7" t="n"/>
      <c r="E1" s="9" t="n"/>
      <c r="F1" s="9" t="n"/>
      <c r="G1" s="9" t="n"/>
      <c r="H1" s="9" t="n"/>
    </row>
    <row r="2" ht="11.25" customHeight="1">
      <c r="A2" s="711" t="n"/>
      <c r="E2" s="9" t="n"/>
      <c r="F2" s="9" t="n"/>
      <c r="G2" s="70" t="n"/>
      <c r="H2" s="9" t="n"/>
      <c r="L2" s="711" t="n"/>
      <c r="M2" s="711" t="n"/>
    </row>
    <row r="3" ht="13.5" customHeight="1">
      <c r="A3" s="711" t="n"/>
      <c r="C3" s="7" t="n"/>
      <c r="D3" s="7" t="n"/>
      <c r="G3" s="71" t="n"/>
      <c r="H3" s="9" t="n"/>
      <c r="L3" s="711" t="n"/>
      <c r="M3" s="711" t="n"/>
    </row>
    <row r="4" ht="9.75" customHeight="1">
      <c r="A4" s="711" t="n"/>
      <c r="E4" s="9" t="n"/>
      <c r="F4" s="9" t="n"/>
      <c r="G4" s="14" t="n"/>
      <c r="H4" s="9" t="n"/>
      <c r="L4" s="711" t="n"/>
      <c r="M4" s="711" t="n"/>
    </row>
    <row r="5" ht="18.75" customHeight="1">
      <c r="A5" s="74" t="inlineStr">
        <is>
          <t>PROFIT AND LOSS</t>
        </is>
      </c>
      <c r="B5" s="712" t="n"/>
      <c r="C5" s="71" t="n"/>
      <c r="D5" s="71" t="n"/>
      <c r="E5" s="9" t="n"/>
      <c r="F5" s="9" t="n"/>
      <c r="G5" s="9" t="n"/>
      <c r="H5" s="9" t="n"/>
      <c r="L5" s="74" t="inlineStr">
        <is>
          <t>PROFIT AND LOSS</t>
        </is>
      </c>
      <c r="M5" s="74" t="n"/>
    </row>
    <row r="6" ht="16.5" customHeight="1">
      <c r="A6" s="711" t="n"/>
      <c r="B6" s="710" t="n"/>
      <c r="C6" s="40" t="inlineStr">
        <is>
          <t>Year 1</t>
        </is>
      </c>
      <c r="D6" s="40" t="n"/>
      <c r="E6" s="40" t="inlineStr">
        <is>
          <t>Year 2</t>
        </is>
      </c>
      <c r="F6" s="40" t="n"/>
      <c r="G6" s="40" t="inlineStr">
        <is>
          <t>Year 3</t>
        </is>
      </c>
      <c r="H6" s="9" t="n"/>
      <c r="I6" s="40" t="inlineStr">
        <is>
          <t>Year 4</t>
        </is>
      </c>
      <c r="J6" s="40" t="n"/>
      <c r="K6" s="40" t="inlineStr">
        <is>
          <t>Year 5</t>
        </is>
      </c>
      <c r="L6" s="711" t="n"/>
      <c r="M6" s="711" t="n"/>
    </row>
    <row r="7" ht="15.75" customHeight="1">
      <c r="A7" s="711" t="n"/>
      <c r="C7" s="37" t="inlineStr">
        <is>
          <t>$</t>
        </is>
      </c>
      <c r="D7" s="38" t="n"/>
      <c r="E7" s="37" t="inlineStr">
        <is>
          <t>$</t>
        </is>
      </c>
      <c r="F7" s="38" t="n"/>
      <c r="G7" s="37" t="inlineStr">
        <is>
          <t>$</t>
        </is>
      </c>
      <c r="H7" s="9" t="n"/>
      <c r="I7" s="37" t="inlineStr">
        <is>
          <t>$</t>
        </is>
      </c>
      <c r="J7" s="38" t="n"/>
      <c r="K7" s="37" t="inlineStr">
        <is>
          <t>$</t>
        </is>
      </c>
      <c r="L7" s="711" t="n"/>
      <c r="M7" s="711" t="n"/>
    </row>
    <row r="8">
      <c r="A8" s="711" t="inlineStr">
        <is>
          <t>Sales</t>
        </is>
      </c>
      <c r="E8" s="9" t="n"/>
      <c r="F8" s="9" t="n"/>
      <c r="G8" s="9" t="n"/>
      <c r="H8" s="9" t="n"/>
      <c r="L8" s="711" t="inlineStr">
        <is>
          <t>Sales</t>
        </is>
      </c>
      <c r="M8" s="711" t="n"/>
    </row>
    <row r="9">
      <c r="A9" s="711" t="n"/>
      <c r="B9" s="713" t="inlineStr">
        <is>
          <t xml:space="preserve">Daily Wi-Fi top-ups </t>
        </is>
      </c>
      <c r="C9" s="714">
        <f>'PnL Mnthly'!O8</f>
        <v/>
      </c>
      <c r="D9" s="714" t="n"/>
      <c r="E9" s="714">
        <f>'PnL Mnthly'!AC8</f>
        <v/>
      </c>
      <c r="F9" s="714" t="n"/>
      <c r="G9" s="714">
        <f>'PnL Mnthly'!AQ8</f>
        <v/>
      </c>
      <c r="H9" s="9" t="n"/>
      <c r="I9" s="714">
        <f>'PnL Mnthly'!BE8</f>
        <v/>
      </c>
      <c r="J9" s="714" t="n"/>
      <c r="K9" s="714">
        <f>'PnL Mnthly'!BS8</f>
        <v/>
      </c>
      <c r="L9" s="711" t="n"/>
      <c r="M9" s="711" t="n"/>
    </row>
    <row r="10">
      <c r="A10" s="711" t="n"/>
      <c r="B10" s="713" t="inlineStr">
        <is>
          <t xml:space="preserve">Weekly Wi-Fi top-ups </t>
        </is>
      </c>
      <c r="C10" s="714">
        <f>'PnL Mnthly'!O9</f>
        <v/>
      </c>
      <c r="D10" s="714" t="n"/>
      <c r="E10" s="714">
        <f>'PnL Mnthly'!AC9</f>
        <v/>
      </c>
      <c r="F10" s="714" t="n"/>
      <c r="G10" s="714">
        <f>'PnL Mnthly'!AQ9</f>
        <v/>
      </c>
      <c r="H10" s="9" t="n"/>
      <c r="I10" s="714">
        <f>'PnL Mnthly'!BE9</f>
        <v/>
      </c>
      <c r="J10" s="714" t="n"/>
      <c r="K10" s="714">
        <f>'PnL Mnthly'!BS9</f>
        <v/>
      </c>
      <c r="L10" s="711" t="n"/>
      <c r="M10" s="711" t="n"/>
    </row>
    <row r="11">
      <c r="A11" s="711" t="n"/>
      <c r="B11" s="713" t="inlineStr">
        <is>
          <t xml:space="preserve">Monthly Wi-Fi top-ups </t>
        </is>
      </c>
      <c r="C11" s="714">
        <f>'PnL Mnthly'!O10</f>
        <v/>
      </c>
      <c r="D11" s="714" t="n"/>
      <c r="E11" s="714">
        <f>'PnL Mnthly'!AC10</f>
        <v/>
      </c>
      <c r="F11" s="714" t="n"/>
      <c r="G11" s="714">
        <f>'PnL Mnthly'!AQ10</f>
        <v/>
      </c>
      <c r="H11" s="9" t="n"/>
      <c r="I11" s="714">
        <f>'PnL Mnthly'!BE10</f>
        <v/>
      </c>
      <c r="J11" s="714" t="n"/>
      <c r="K11" s="714">
        <f>'PnL Mnthly'!BS10</f>
        <v/>
      </c>
      <c r="L11" s="711" t="n"/>
      <c r="M11" s="711" t="n"/>
    </row>
    <row r="12">
      <c r="A12" s="711" t="n"/>
      <c r="B12" s="713" t="inlineStr">
        <is>
          <t>Enterprise 1 (Up to 10 Employees)</t>
        </is>
      </c>
      <c r="C12" s="714">
        <f>'PnL Mnthly'!O11</f>
        <v/>
      </c>
      <c r="D12" s="714" t="n"/>
      <c r="E12" s="714">
        <f>'PnL Mnthly'!AC11</f>
        <v/>
      </c>
      <c r="F12" s="714" t="n"/>
      <c r="G12" s="714">
        <f>'PnL Mnthly'!AQ11</f>
        <v/>
      </c>
      <c r="H12" s="9" t="n"/>
      <c r="I12" s="714">
        <f>'PnL Mnthly'!BE11</f>
        <v/>
      </c>
      <c r="J12" s="714" t="n"/>
      <c r="K12" s="714">
        <f>'PnL Mnthly'!BS11</f>
        <v/>
      </c>
      <c r="L12" s="711" t="n"/>
      <c r="M12" s="711" t="n"/>
    </row>
    <row r="13">
      <c r="A13" s="711" t="n"/>
      <c r="B13" s="713" t="inlineStr">
        <is>
          <t>Enterprise 2 (Up to 25 Employees)</t>
        </is>
      </c>
      <c r="C13" s="714">
        <f>'PnL Mnthly'!O12</f>
        <v/>
      </c>
      <c r="D13" s="714" t="n"/>
      <c r="E13" s="714">
        <f>'PnL Mnthly'!AC12</f>
        <v/>
      </c>
      <c r="F13" s="714" t="n"/>
      <c r="G13" s="714">
        <f>'PnL Mnthly'!AQ12</f>
        <v/>
      </c>
      <c r="H13" s="9" t="n"/>
      <c r="I13" s="714">
        <f>'PnL Mnthly'!BE12</f>
        <v/>
      </c>
      <c r="J13" s="714" t="n"/>
      <c r="K13" s="714">
        <f>'PnL Mnthly'!BS12</f>
        <v/>
      </c>
      <c r="L13" s="711" t="n"/>
      <c r="M13" s="711" t="n"/>
    </row>
    <row r="14">
      <c r="A14" s="711" t="n"/>
      <c r="B14" s="713" t="inlineStr">
        <is>
          <t>Enterprise 3  (Up to 50 Employees)</t>
        </is>
      </c>
      <c r="C14" s="714">
        <f>'PnL Mnthly'!O13</f>
        <v/>
      </c>
      <c r="D14" s="714" t="n"/>
      <c r="E14" s="714">
        <f>'PnL Mnthly'!AC13</f>
        <v/>
      </c>
      <c r="F14" s="714" t="n"/>
      <c r="G14" s="714">
        <f>'PnL Mnthly'!AQ13</f>
        <v/>
      </c>
      <c r="H14" s="9" t="n"/>
      <c r="I14" s="714">
        <f>'PnL Mnthly'!BE13</f>
        <v/>
      </c>
      <c r="J14" s="714" t="n"/>
      <c r="K14" s="714">
        <f>'PnL Mnthly'!BS13</f>
        <v/>
      </c>
      <c r="L14" s="711" t="n"/>
      <c r="M14" s="711" t="n"/>
    </row>
    <row r="15">
      <c r="A15" s="711" t="n"/>
      <c r="B15" s="713" t="inlineStr">
        <is>
          <t>Enterprise 4  (Up to 99 Employees)</t>
        </is>
      </c>
      <c r="C15" s="714">
        <f>'PnL Mnthly'!O14</f>
        <v/>
      </c>
      <c r="D15" s="714" t="n"/>
      <c r="E15" s="714">
        <f>'PnL Mnthly'!AC14</f>
        <v/>
      </c>
      <c r="F15" s="714" t="n"/>
      <c r="G15" s="714">
        <f>'PnL Mnthly'!AQ14</f>
        <v/>
      </c>
      <c r="H15" s="9" t="n"/>
      <c r="I15" s="714">
        <f>'PnL Mnthly'!BE14</f>
        <v/>
      </c>
      <c r="J15" s="714" t="n"/>
      <c r="K15" s="714">
        <f>'PnL Mnthly'!BS14</f>
        <v/>
      </c>
      <c r="L15" s="711" t="n"/>
      <c r="M15" s="711" t="n"/>
    </row>
    <row r="16">
      <c r="A16" s="711" t="n"/>
      <c r="B16" s="713">
        <f>Calc!A12</f>
        <v/>
      </c>
      <c r="C16" s="714">
        <f>'PnL Mnthly'!O15</f>
        <v/>
      </c>
      <c r="D16" s="714" t="n"/>
      <c r="E16" s="714">
        <f>'PnL Mnthly'!AC15</f>
        <v/>
      </c>
      <c r="F16" s="714" t="n"/>
      <c r="G16" s="714">
        <f>'PnL Mnthly'!AQ15</f>
        <v/>
      </c>
      <c r="H16" s="9" t="n"/>
      <c r="I16" s="714">
        <f>'PnL Mnthly'!BE15</f>
        <v/>
      </c>
      <c r="J16" s="714" t="n"/>
      <c r="K16" s="714">
        <f>'PnL Mnthly'!BS15</f>
        <v/>
      </c>
      <c r="L16" s="711" t="n"/>
      <c r="M16" s="711" t="n"/>
    </row>
    <row r="17">
      <c r="A17" s="711" t="n"/>
      <c r="B17" s="713">
        <f>Calc!A13</f>
        <v/>
      </c>
      <c r="C17" s="714">
        <f>'PnL Mnthly'!O16</f>
        <v/>
      </c>
      <c r="D17" s="714" t="n"/>
      <c r="E17" s="714">
        <f>'PnL Mnthly'!AC16</f>
        <v/>
      </c>
      <c r="F17" s="714" t="n"/>
      <c r="G17" s="714">
        <f>'PnL Mnthly'!AQ16</f>
        <v/>
      </c>
      <c r="H17" s="9" t="n"/>
      <c r="I17" s="714">
        <f>'PnL Mnthly'!BE16</f>
        <v/>
      </c>
      <c r="J17" s="714" t="n"/>
      <c r="K17" s="714">
        <f>'PnL Mnthly'!BS16</f>
        <v/>
      </c>
      <c r="L17" s="711" t="n"/>
      <c r="M17" s="711" t="n"/>
    </row>
    <row r="18">
      <c r="A18" s="711" t="n"/>
      <c r="B18" s="713">
        <f>Calc!A14</f>
        <v/>
      </c>
      <c r="C18" s="714">
        <f>'PnL Mnthly'!O17</f>
        <v/>
      </c>
      <c r="D18" s="714" t="n"/>
      <c r="E18" s="714">
        <f>'PnL Mnthly'!AC17</f>
        <v/>
      </c>
      <c r="F18" s="714" t="n"/>
      <c r="G18" s="714">
        <f>'PnL Mnthly'!AQ17</f>
        <v/>
      </c>
      <c r="H18" s="9" t="n"/>
      <c r="I18" s="714">
        <f>'PnL Mnthly'!BE17</f>
        <v/>
      </c>
      <c r="J18" s="714" t="n"/>
      <c r="K18" s="714">
        <f>'PnL Mnthly'!BS17</f>
        <v/>
      </c>
      <c r="L18" s="711" t="n"/>
      <c r="M18" s="711" t="n"/>
    </row>
    <row r="19">
      <c r="A19" s="711" t="n"/>
      <c r="B19" s="713">
        <f>Calc!A15</f>
        <v/>
      </c>
      <c r="C19" s="714">
        <f>'PnL Mnthly'!O18</f>
        <v/>
      </c>
      <c r="D19" s="714" t="n"/>
      <c r="E19" s="714">
        <f>'PnL Mnthly'!AC18</f>
        <v/>
      </c>
      <c r="F19" s="714" t="n"/>
      <c r="G19" s="714">
        <f>'PnL Mnthly'!AQ18</f>
        <v/>
      </c>
      <c r="H19" s="9" t="n"/>
      <c r="I19" s="714">
        <f>'PnL Mnthly'!BE18</f>
        <v/>
      </c>
      <c r="J19" s="714" t="n"/>
      <c r="K19" s="714">
        <f>'PnL Mnthly'!BS18</f>
        <v/>
      </c>
      <c r="L19" s="711" t="n"/>
      <c r="M19" s="711" t="n"/>
    </row>
    <row r="20">
      <c r="A20" s="711" t="n"/>
      <c r="B20" s="713">
        <f>Calc!A16</f>
        <v/>
      </c>
      <c r="C20" s="714">
        <f>'PnL Mnthly'!O19</f>
        <v/>
      </c>
      <c r="D20" s="714" t="n"/>
      <c r="E20" s="714">
        <f>'PnL Mnthly'!AC19</f>
        <v/>
      </c>
      <c r="F20" s="714" t="n"/>
      <c r="G20" s="714">
        <f>'PnL Mnthly'!AQ19</f>
        <v/>
      </c>
      <c r="H20" s="9" t="n"/>
      <c r="I20" s="714">
        <f>'PnL Mnthly'!BE19</f>
        <v/>
      </c>
      <c r="J20" s="714" t="n"/>
      <c r="K20" s="714">
        <f>'PnL Mnthly'!BS19</f>
        <v/>
      </c>
      <c r="L20" s="711" t="n"/>
      <c r="M20" s="711" t="n"/>
    </row>
    <row r="21">
      <c r="A21" s="711" t="n"/>
      <c r="B21" s="713">
        <f>Calc!A17</f>
        <v/>
      </c>
      <c r="C21" s="714">
        <f>'PnL Mnthly'!O20</f>
        <v/>
      </c>
      <c r="D21" s="714" t="n"/>
      <c r="E21" s="714">
        <f>'PnL Mnthly'!AC20</f>
        <v/>
      </c>
      <c r="F21" s="714" t="n"/>
      <c r="G21" s="714">
        <f>'PnL Mnthly'!AQ20</f>
        <v/>
      </c>
      <c r="H21" s="9" t="n"/>
      <c r="I21" s="714">
        <f>'PnL Mnthly'!BE20</f>
        <v/>
      </c>
      <c r="J21" s="714" t="n"/>
      <c r="K21" s="714">
        <f>'PnL Mnthly'!BS20</f>
        <v/>
      </c>
      <c r="L21" s="711" t="n"/>
      <c r="M21" s="711" t="n"/>
    </row>
    <row r="22" ht="6.75" customHeight="1">
      <c r="A22" s="711" t="n"/>
      <c r="C22" s="714" t="n"/>
      <c r="D22" s="714" t="n"/>
      <c r="E22" s="714" t="n"/>
      <c r="F22" s="714" t="n"/>
      <c r="G22" s="714" t="n"/>
      <c r="H22" s="9" t="n"/>
      <c r="I22" s="714">
        <f>'PnL Mnthly'!BE21</f>
        <v/>
      </c>
      <c r="J22" s="714" t="n"/>
      <c r="K22" s="714">
        <f>'PnL Mnthly'!BS21</f>
        <v/>
      </c>
      <c r="L22" s="711" t="n"/>
      <c r="M22" s="711" t="n"/>
    </row>
    <row r="23">
      <c r="A23" s="711" t="inlineStr">
        <is>
          <t>Total Sales</t>
        </is>
      </c>
      <c r="C23" s="715">
        <f>SUM(C9:C22)</f>
        <v/>
      </c>
      <c r="D23" s="716" t="n"/>
      <c r="E23" s="715">
        <f>SUM(E9:E22)</f>
        <v/>
      </c>
      <c r="F23" s="716" t="n"/>
      <c r="G23" s="715">
        <f>SUM(G9:G22)</f>
        <v/>
      </c>
      <c r="H23" s="9" t="n"/>
      <c r="I23" s="715">
        <f>SUM(I9:I22)</f>
        <v/>
      </c>
      <c r="J23" s="714" t="n"/>
      <c r="K23" s="715">
        <f>SUM(K9:K22)</f>
        <v/>
      </c>
      <c r="L23" s="711" t="inlineStr">
        <is>
          <t>Total Sales</t>
        </is>
      </c>
      <c r="M23" s="711" t="n"/>
    </row>
    <row r="24">
      <c r="A24" s="711" t="n"/>
      <c r="C24" s="714" t="n"/>
      <c r="D24" s="714" t="n"/>
      <c r="E24" s="714" t="n"/>
      <c r="F24" s="714" t="n"/>
      <c r="G24" s="714" t="n"/>
      <c r="H24" s="9" t="n"/>
      <c r="I24" s="714" t="n"/>
      <c r="J24" s="714" t="n"/>
      <c r="K24" s="714" t="n"/>
      <c r="L24" s="711" t="n"/>
      <c r="M24" s="711" t="n"/>
    </row>
    <row r="25">
      <c r="B25" s="713" t="inlineStr">
        <is>
          <t>Cost of Sales</t>
        </is>
      </c>
      <c r="C25" s="714" t="n"/>
      <c r="D25" s="714" t="n"/>
      <c r="E25" s="714" t="n"/>
      <c r="F25" s="714" t="n"/>
      <c r="G25" s="714" t="n"/>
      <c r="H25" s="9" t="n"/>
      <c r="I25" s="714" t="n"/>
      <c r="J25" s="714" t="n"/>
      <c r="K25" s="714" t="n"/>
      <c r="L25" s="709" t="n"/>
      <c r="M25" s="709" t="n"/>
    </row>
    <row r="26">
      <c r="B26" s="717" t="inlineStr">
        <is>
          <t>Airtime Vouchers</t>
        </is>
      </c>
      <c r="C26" s="714">
        <f>'PnL Mnthly'!O25</f>
        <v/>
      </c>
      <c r="D26" s="714" t="n"/>
      <c r="E26" s="714">
        <f>'PnL Mnthly'!AC25</f>
        <v/>
      </c>
      <c r="F26" s="714" t="n"/>
      <c r="G26" s="714">
        <f>'PnL Mnthly'!AQ25</f>
        <v/>
      </c>
      <c r="H26" s="9" t="n"/>
      <c r="I26" s="714">
        <f>'PnL Mnthly'!BE25</f>
        <v/>
      </c>
      <c r="J26" s="714" t="n"/>
      <c r="K26" s="714">
        <f>'PnL Mnthly'!BS25</f>
        <v/>
      </c>
      <c r="L26" s="709" t="n"/>
      <c r="M26" s="709" t="n"/>
    </row>
    <row r="27" ht="3.75" customHeight="1">
      <c r="A27" s="7" t="n"/>
      <c r="C27" s="714" t="n"/>
      <c r="D27" s="714" t="n"/>
      <c r="E27" s="714" t="n"/>
      <c r="F27" s="714" t="n"/>
      <c r="G27" s="714" t="n"/>
      <c r="H27" s="9" t="n"/>
      <c r="I27" s="714">
        <f>'PnL Mnthly'!BE26</f>
        <v/>
      </c>
      <c r="J27" s="714" t="n"/>
      <c r="K27" s="714">
        <f>'PnL Mnthly'!BS26</f>
        <v/>
      </c>
    </row>
    <row r="28">
      <c r="A28" s="711" t="inlineStr">
        <is>
          <t>Total Cost of Sales</t>
        </is>
      </c>
      <c r="C28" s="715">
        <f>SUM(C25:C26)</f>
        <v/>
      </c>
      <c r="D28" s="716" t="n"/>
      <c r="E28" s="715">
        <f>SUM(E25:E26)</f>
        <v/>
      </c>
      <c r="F28" s="716" t="n"/>
      <c r="G28" s="715">
        <f>SUM(G25:G26)</f>
        <v/>
      </c>
      <c r="H28" s="9" t="n"/>
      <c r="I28" s="715">
        <f>SUM(I25:I26)</f>
        <v/>
      </c>
      <c r="J28" s="714" t="n"/>
      <c r="K28" s="715">
        <f>SUM(K25:K26)</f>
        <v/>
      </c>
      <c r="L28" s="711" t="inlineStr">
        <is>
          <t>Total Cost of Sales</t>
        </is>
      </c>
      <c r="M28" s="711" t="n"/>
    </row>
    <row r="29">
      <c r="A29" s="711" t="n"/>
      <c r="C29" s="716" t="n"/>
      <c r="D29" s="716" t="n"/>
      <c r="E29" s="716" t="n"/>
      <c r="F29" s="716" t="n"/>
      <c r="G29" s="716" t="n"/>
      <c r="H29" s="9" t="n"/>
      <c r="I29" s="714" t="n"/>
      <c r="J29" s="714" t="n"/>
      <c r="K29" s="714" t="n"/>
      <c r="L29" s="711" t="n"/>
      <c r="M29" s="711" t="n"/>
    </row>
    <row r="30">
      <c r="A30" s="711" t="n"/>
      <c r="B30" s="710" t="inlineStr">
        <is>
          <t>Gross Profit</t>
        </is>
      </c>
      <c r="C30" s="716">
        <f>C23-C28</f>
        <v/>
      </c>
      <c r="D30" s="716" t="n"/>
      <c r="E30" s="716">
        <f>E23-E28</f>
        <v/>
      </c>
      <c r="F30" s="716" t="n"/>
      <c r="G30" s="716">
        <f>G23-G28</f>
        <v/>
      </c>
      <c r="H30" s="9" t="n"/>
      <c r="I30" s="716">
        <f>I23-I28</f>
        <v/>
      </c>
      <c r="J30" s="714" t="n"/>
      <c r="K30" s="716">
        <f>K23-K28</f>
        <v/>
      </c>
      <c r="L30" s="711" t="n"/>
      <c r="M30" s="711" t="n"/>
    </row>
    <row r="31">
      <c r="A31" s="711" t="inlineStr">
        <is>
          <t>Expenses</t>
        </is>
      </c>
      <c r="C31" s="714" t="n"/>
      <c r="D31" s="714" t="n"/>
      <c r="E31" s="714" t="n"/>
      <c r="F31" s="714" t="n"/>
      <c r="G31" s="714" t="n"/>
      <c r="H31" s="9" t="n"/>
      <c r="I31" s="714" t="n"/>
      <c r="J31" s="714" t="n"/>
      <c r="K31" s="714" t="n"/>
      <c r="L31" s="711" t="inlineStr">
        <is>
          <t>Expenses</t>
        </is>
      </c>
      <c r="M31" s="711" t="n"/>
    </row>
    <row r="32">
      <c r="A32" s="711" t="n"/>
      <c r="B32" s="710" t="inlineStr">
        <is>
          <t>Salaries</t>
        </is>
      </c>
      <c r="C32" s="714">
        <f>'PnL Mnthly'!O32</f>
        <v/>
      </c>
      <c r="D32" s="714" t="n"/>
      <c r="E32" s="714">
        <f>'PnL Mnthly'!AC32</f>
        <v/>
      </c>
      <c r="F32" s="714" t="n"/>
      <c r="G32" s="714">
        <f>'PnL Mnthly'!AQ32</f>
        <v/>
      </c>
      <c r="H32" s="9" t="n"/>
      <c r="I32" s="714">
        <f>'PnL Mnthly'!BE32</f>
        <v/>
      </c>
      <c r="J32" s="714" t="n"/>
      <c r="K32" s="714">
        <f>'PnL Mnthly'!BS32</f>
        <v/>
      </c>
      <c r="L32" s="711" t="n"/>
      <c r="M32" s="711" t="n"/>
    </row>
    <row r="33">
      <c r="A33" s="711" t="n"/>
      <c r="B33" s="713" t="inlineStr">
        <is>
          <t>Customer Service</t>
        </is>
      </c>
      <c r="C33" s="714">
        <f>'PnL Mnthly'!O33</f>
        <v/>
      </c>
      <c r="D33" s="714" t="n"/>
      <c r="E33" s="714">
        <f>'PnL Mnthly'!AC33</f>
        <v/>
      </c>
      <c r="F33" s="714" t="n"/>
      <c r="G33" s="714">
        <f>'PnL Mnthly'!AQ33</f>
        <v/>
      </c>
      <c r="H33" s="9" t="n"/>
      <c r="I33" s="714">
        <f>'PnL Mnthly'!BE33</f>
        <v/>
      </c>
      <c r="J33" s="714" t="n"/>
      <c r="K33" s="714">
        <f>'PnL Mnthly'!BS33</f>
        <v/>
      </c>
      <c r="L33" s="711" t="n"/>
      <c r="M33" s="711" t="n"/>
    </row>
    <row r="34">
      <c r="A34" s="711" t="n"/>
      <c r="B34" s="713" t="inlineStr">
        <is>
          <t>Kiosk Staff</t>
        </is>
      </c>
      <c r="C34" s="714">
        <f>'PnL Mnthly'!O34</f>
        <v/>
      </c>
      <c r="D34" s="714" t="n"/>
      <c r="E34" s="714">
        <f>'PnL Mnthly'!AC34</f>
        <v/>
      </c>
      <c r="F34" s="714" t="n"/>
      <c r="G34" s="714">
        <f>'PnL Mnthly'!AQ34</f>
        <v/>
      </c>
      <c r="H34" s="9" t="n"/>
      <c r="I34" s="714">
        <f>'PnL Mnthly'!BE34</f>
        <v/>
      </c>
      <c r="J34" s="714" t="n"/>
      <c r="K34" s="714">
        <f>'PnL Mnthly'!BS34</f>
        <v/>
      </c>
      <c r="L34" s="711" t="n"/>
      <c r="M34" s="711" t="n"/>
    </row>
    <row r="35">
      <c r="A35" s="711" t="n"/>
      <c r="B35" s="710" t="inlineStr">
        <is>
          <t>Office Rent</t>
        </is>
      </c>
      <c r="C35" s="714">
        <f>'PnL Mnthly'!O35</f>
        <v/>
      </c>
      <c r="D35" s="714" t="n"/>
      <c r="E35" s="714">
        <f>'PnL Mnthly'!AC35</f>
        <v/>
      </c>
      <c r="F35" s="714" t="n"/>
      <c r="G35" s="714">
        <f>'PnL Mnthly'!AQ35</f>
        <v/>
      </c>
      <c r="H35" s="9" t="n"/>
      <c r="I35" s="714">
        <f>'PnL Mnthly'!BE35</f>
        <v/>
      </c>
      <c r="J35" s="714" t="n"/>
      <c r="K35" s="714">
        <f>'PnL Mnthly'!BS35</f>
        <v/>
      </c>
      <c r="L35" s="711" t="n"/>
      <c r="M35" s="711" t="n"/>
    </row>
    <row r="36">
      <c r="A36" s="711" t="n"/>
      <c r="B36" s="710" t="inlineStr">
        <is>
          <t>Repairs and Maintenance</t>
        </is>
      </c>
      <c r="C36" s="714">
        <f>'PnL Mnthly'!O37</f>
        <v/>
      </c>
      <c r="D36" s="714" t="n"/>
      <c r="E36" s="714">
        <f>'PnL Mnthly'!AC37</f>
        <v/>
      </c>
      <c r="F36" s="714" t="n"/>
      <c r="G36" s="714">
        <f>'PnL Mnthly'!AQ37</f>
        <v/>
      </c>
      <c r="H36" s="9" t="n"/>
      <c r="I36" s="714">
        <f>'PnL Mnthly'!BE36</f>
        <v/>
      </c>
      <c r="J36" s="714" t="n"/>
      <c r="K36" s="714">
        <f>'PnL Mnthly'!BS36</f>
        <v/>
      </c>
      <c r="L36" s="711" t="n"/>
      <c r="M36" s="711" t="n"/>
    </row>
    <row r="37">
      <c r="A37" s="711" t="n"/>
      <c r="B37" s="710" t="inlineStr">
        <is>
          <t>Admin Costs</t>
        </is>
      </c>
      <c r="C37" s="714">
        <f>'PnL Mnthly'!O39</f>
        <v/>
      </c>
      <c r="D37" s="714" t="n"/>
      <c r="E37" s="714">
        <f>'PnL Mnthly'!AC39</f>
        <v/>
      </c>
      <c r="F37" s="714" t="n"/>
      <c r="G37" s="714">
        <f>'PnL Mnthly'!AQ39</f>
        <v/>
      </c>
      <c r="H37" s="9" t="n"/>
      <c r="I37" s="714">
        <f>'PnL Mnthly'!BE37</f>
        <v/>
      </c>
      <c r="J37" s="714" t="n"/>
      <c r="K37" s="714">
        <f>'PnL Mnthly'!BS37</f>
        <v/>
      </c>
      <c r="L37" s="711" t="n"/>
      <c r="M37" s="711" t="n"/>
    </row>
    <row r="38">
      <c r="A38" s="711" t="n"/>
      <c r="B38" s="710" t="inlineStr">
        <is>
          <t xml:space="preserve">Fibre optic lease </t>
        </is>
      </c>
      <c r="C38" s="714">
        <f>'PnL Mnthly'!O40</f>
        <v/>
      </c>
      <c r="D38" s="714" t="n"/>
      <c r="E38" s="714">
        <f>'PnL Mnthly'!AC40</f>
        <v/>
      </c>
      <c r="F38" s="714" t="n"/>
      <c r="G38" s="714">
        <f>'PnL Mnthly'!AQ40</f>
        <v/>
      </c>
      <c r="H38" s="9" t="n"/>
      <c r="I38" s="714">
        <f>'PnL Mnthly'!BE40</f>
        <v/>
      </c>
      <c r="J38" s="714" t="n"/>
      <c r="K38" s="714">
        <f>'PnL Mnthly'!BS40</f>
        <v/>
      </c>
      <c r="L38" s="711" t="n"/>
      <c r="M38" s="711" t="n"/>
    </row>
    <row r="39">
      <c r="A39" s="711" t="n"/>
      <c r="B39" s="710" t="inlineStr">
        <is>
          <t>Utilities</t>
        </is>
      </c>
      <c r="C39" s="714">
        <f>'PnL Mnthly'!O36</f>
        <v/>
      </c>
      <c r="D39" s="714" t="n"/>
      <c r="E39" s="714">
        <f>'PnL Mnthly'!AC36</f>
        <v/>
      </c>
      <c r="F39" s="714" t="n"/>
      <c r="G39" s="714">
        <f>'PnL Mnthly'!AQ36</f>
        <v/>
      </c>
      <c r="H39" s="9" t="n"/>
      <c r="I39" s="714">
        <f>'PnL Mnthly'!BE39</f>
        <v/>
      </c>
      <c r="J39" s="714" t="n"/>
      <c r="K39" s="714">
        <f>'PnL Mnthly'!BS39</f>
        <v/>
      </c>
      <c r="L39" s="711" t="n"/>
      <c r="M39" s="711" t="n"/>
    </row>
    <row r="40">
      <c r="A40" s="711" t="n"/>
      <c r="B40" s="710" t="inlineStr">
        <is>
          <t>Marketing</t>
        </is>
      </c>
      <c r="C40" s="714">
        <f>'PnL Mnthly'!O38</f>
        <v/>
      </c>
      <c r="D40" s="714" t="n"/>
      <c r="E40" s="714">
        <f>'PnL Mnthly'!AC38</f>
        <v/>
      </c>
      <c r="F40" s="714" t="n"/>
      <c r="G40" s="714">
        <f>'PnL Mnthly'!AQ38</f>
        <v/>
      </c>
      <c r="H40" s="9" t="n"/>
      <c r="I40" s="714">
        <f>'PnL Mnthly'!BE40</f>
        <v/>
      </c>
      <c r="J40" s="714" t="n"/>
      <c r="K40" s="714">
        <f>'PnL Mnthly'!BS40</f>
        <v/>
      </c>
      <c r="L40" s="711" t="n"/>
      <c r="M40" s="711" t="n"/>
    </row>
    <row r="41">
      <c r="A41" s="711" t="n"/>
      <c r="B41" s="710" t="inlineStr">
        <is>
          <t>Professional and Legal Costs</t>
        </is>
      </c>
      <c r="C41" s="714">
        <f>'PnL Mnthly'!O41</f>
        <v/>
      </c>
      <c r="D41" s="714" t="n"/>
      <c r="E41" s="714">
        <f>'PnL Mnthly'!AC41</f>
        <v/>
      </c>
      <c r="F41" s="714" t="n"/>
      <c r="G41" s="714">
        <f>'PnL Mnthly'!AQ41</f>
        <v/>
      </c>
      <c r="H41" s="9" t="n"/>
      <c r="I41" s="714">
        <f>'PnL Mnthly'!BE41</f>
        <v/>
      </c>
      <c r="J41" s="714" t="n"/>
      <c r="K41" s="714">
        <f>'PnL Mnthly'!BS41</f>
        <v/>
      </c>
      <c r="L41" s="711" t="n"/>
      <c r="M41" s="711" t="n"/>
    </row>
    <row r="42">
      <c r="A42" s="711" t="n"/>
      <c r="B42" s="713" t="inlineStr">
        <is>
          <t>Insurances</t>
        </is>
      </c>
      <c r="C42" s="714">
        <f>'PnL Mnthly'!O42</f>
        <v/>
      </c>
      <c r="D42" s="714" t="n"/>
      <c r="E42" s="714">
        <f>'PnL Mnthly'!AC42</f>
        <v/>
      </c>
      <c r="F42" s="714" t="n"/>
      <c r="G42" s="714">
        <f>'PnL Mnthly'!AQ42</f>
        <v/>
      </c>
      <c r="H42" s="9" t="n"/>
      <c r="I42" s="714">
        <f>'PnL Mnthly'!BE42</f>
        <v/>
      </c>
      <c r="J42" s="714" t="n"/>
      <c r="K42" s="714">
        <f>'PnL Mnthly'!BS42</f>
        <v/>
      </c>
      <c r="L42" s="711" t="n"/>
      <c r="M42" s="711" t="n"/>
    </row>
    <row r="43">
      <c r="A43" s="711" t="n"/>
      <c r="B43" s="710" t="inlineStr">
        <is>
          <t>Bank Charges</t>
        </is>
      </c>
      <c r="C43" s="714">
        <f>'PnL Mnthly'!O43</f>
        <v/>
      </c>
      <c r="D43" s="714" t="n"/>
      <c r="E43" s="714">
        <f>'PnL Mnthly'!AC43</f>
        <v/>
      </c>
      <c r="F43" s="714" t="n"/>
      <c r="G43" s="714">
        <f>'PnL Mnthly'!AQ43</f>
        <v/>
      </c>
      <c r="H43" s="9" t="n"/>
      <c r="I43" s="714">
        <f>'PnL Mnthly'!BE43</f>
        <v/>
      </c>
      <c r="J43" s="714" t="n"/>
      <c r="K43" s="714">
        <f>'PnL Mnthly'!BS43</f>
        <v/>
      </c>
      <c r="L43" s="711" t="n"/>
      <c r="M43" s="711" t="n"/>
    </row>
    <row r="44">
      <c r="A44" s="711" t="n"/>
      <c r="B44" s="710" t="inlineStr">
        <is>
          <t>Depreciation</t>
        </is>
      </c>
      <c r="C44" s="714">
        <f>'PnL Mnthly'!O44</f>
        <v/>
      </c>
      <c r="D44" s="714" t="n"/>
      <c r="E44" s="714">
        <f>'PnL Mnthly'!AC44</f>
        <v/>
      </c>
      <c r="F44" s="714" t="n"/>
      <c r="G44" s="714">
        <f>'PnL Mnthly'!AQ44</f>
        <v/>
      </c>
      <c r="H44" s="9" t="n"/>
      <c r="I44" s="714">
        <f>'PnL Mnthly'!BE44</f>
        <v/>
      </c>
      <c r="J44" s="714" t="n"/>
      <c r="K44" s="714">
        <f>'PnL Mnthly'!BS44</f>
        <v/>
      </c>
      <c r="L44" s="711" t="n"/>
      <c r="M44" s="711" t="n"/>
    </row>
    <row r="45">
      <c r="A45" s="711" t="n"/>
      <c r="B45" s="710" t="inlineStr">
        <is>
          <t>Loan Interest</t>
        </is>
      </c>
      <c r="C45" s="714">
        <f>'PnL Mnthly'!O45</f>
        <v/>
      </c>
      <c r="D45" s="714" t="n"/>
      <c r="E45" s="714">
        <f>'PnL Mnthly'!AC45</f>
        <v/>
      </c>
      <c r="F45" s="714" t="n"/>
      <c r="G45" s="714">
        <f>'PnL Mnthly'!AQ45</f>
        <v/>
      </c>
      <c r="H45" s="9" t="n"/>
      <c r="I45" s="714">
        <f>'PnL Mnthly'!BE45</f>
        <v/>
      </c>
      <c r="J45" s="714" t="n"/>
      <c r="K45" s="714">
        <f>'PnL Mnthly'!BS45</f>
        <v/>
      </c>
      <c r="L45" s="711" t="n"/>
      <c r="M45" s="711" t="n"/>
    </row>
    <row r="46">
      <c r="A46" s="711" t="inlineStr">
        <is>
          <t>Total Expenses</t>
        </is>
      </c>
      <c r="C46" s="715">
        <f>SUM(C32:C45)</f>
        <v/>
      </c>
      <c r="D46" s="715" t="n"/>
      <c r="E46" s="715">
        <f>SUM(E32:E45)</f>
        <v/>
      </c>
      <c r="F46" s="715" t="n"/>
      <c r="G46" s="715">
        <f>SUM(G32:G45)</f>
        <v/>
      </c>
      <c r="H46" s="9" t="n"/>
      <c r="I46" s="715">
        <f>SUM(I32:I45)</f>
        <v/>
      </c>
      <c r="J46" s="714" t="n"/>
      <c r="K46" s="715">
        <f>SUM(K32:K45)</f>
        <v/>
      </c>
      <c r="L46" s="711" t="inlineStr">
        <is>
          <t>Total Expenses</t>
        </is>
      </c>
      <c r="M46" s="711" t="n"/>
    </row>
    <row r="47" ht="6.75" customHeight="1">
      <c r="A47" s="711" t="n"/>
      <c r="C47" s="716" t="n"/>
      <c r="D47" s="716" t="n"/>
      <c r="E47" s="716" t="n"/>
      <c r="F47" s="716" t="n"/>
      <c r="G47" s="716" t="n"/>
      <c r="H47" s="9" t="n"/>
      <c r="I47" s="714" t="n"/>
      <c r="J47" s="714" t="n"/>
      <c r="K47" s="714" t="n"/>
      <c r="L47" s="711" t="n"/>
      <c r="M47" s="711" t="n"/>
    </row>
    <row r="48" ht="15.75" customHeight="1" thickBot="1">
      <c r="A48" s="711" t="inlineStr">
        <is>
          <t>Profit /(Loss)</t>
        </is>
      </c>
      <c r="C48" s="718">
        <f>C30-C46</f>
        <v/>
      </c>
      <c r="D48" s="716" t="n"/>
      <c r="E48" s="718">
        <f>E30-E46</f>
        <v/>
      </c>
      <c r="F48" s="716" t="n"/>
      <c r="G48" s="718">
        <f>G30-G46</f>
        <v/>
      </c>
      <c r="H48" s="9" t="n"/>
      <c r="I48" s="718">
        <f>I30-I46</f>
        <v/>
      </c>
      <c r="J48" s="714" t="n"/>
      <c r="K48" s="718">
        <f>K30-K46</f>
        <v/>
      </c>
      <c r="L48" s="711" t="inlineStr">
        <is>
          <t>Profit /(Loss)</t>
        </is>
      </c>
      <c r="M48" s="711" t="n"/>
    </row>
    <row r="49" ht="15.75" customHeight="1" thickTop="1">
      <c r="A49" s="711" t="n"/>
      <c r="E49" s="9" t="n"/>
      <c r="F49" s="9" t="n"/>
      <c r="G49" s="9" t="n"/>
      <c r="H49" s="9" t="n"/>
      <c r="L49" s="711" t="n"/>
      <c r="M49" s="711" t="n"/>
    </row>
    <row r="50">
      <c r="A50" s="711" t="n"/>
      <c r="E50" s="9" t="n"/>
      <c r="F50" s="9" t="n"/>
      <c r="G50" s="9" t="n"/>
      <c r="H50" s="9" t="n"/>
      <c r="L50" s="711" t="n"/>
      <c r="M50" s="711" t="n"/>
    </row>
    <row r="51">
      <c r="A51" s="7" t="n"/>
      <c r="E51" s="9" t="n"/>
      <c r="F51" s="9" t="n"/>
      <c r="G51" s="9" t="n"/>
      <c r="H51" s="9" t="n"/>
    </row>
    <row r="52">
      <c r="A52" s="7" t="n"/>
      <c r="C52" s="7" t="n"/>
      <c r="D52" s="7" t="n"/>
    </row>
    <row r="53">
      <c r="A53" s="7" t="n"/>
      <c r="C53" s="7" t="n"/>
      <c r="D53" s="7" t="n"/>
    </row>
    <row r="54">
      <c r="A54" s="7" t="n"/>
      <c r="C54" s="7" t="n"/>
      <c r="D54" s="7" t="n"/>
    </row>
    <row r="55">
      <c r="A55" s="7" t="n"/>
      <c r="C55" s="7" t="n"/>
      <c r="D55" s="7" t="n"/>
    </row>
    <row r="56">
      <c r="A56" s="7" t="n"/>
      <c r="C56" s="7" t="n"/>
      <c r="D56" s="7" t="n"/>
    </row>
    <row r="57">
      <c r="A57" s="7" t="n"/>
      <c r="C57" s="7" t="n"/>
      <c r="D57" s="7" t="n"/>
    </row>
    <row r="58">
      <c r="A58" s="7" t="n"/>
      <c r="C58" s="7" t="n"/>
      <c r="D58" s="7" t="n"/>
    </row>
    <row r="59">
      <c r="A59" s="7" t="n"/>
      <c r="C59" s="7" t="n"/>
      <c r="D59" s="7" t="n"/>
    </row>
    <row r="60">
      <c r="A60" s="7" t="n"/>
      <c r="C60" s="7" t="n"/>
      <c r="D60" s="7" t="n"/>
    </row>
    <row r="61">
      <c r="A61" s="7" t="n"/>
      <c r="C61" s="7" t="n"/>
      <c r="D61" s="7" t="n"/>
    </row>
    <row r="62">
      <c r="A62" s="7" t="n"/>
      <c r="C62" s="7" t="n"/>
      <c r="D62" s="7" t="n"/>
    </row>
    <row r="63">
      <c r="A63" s="7" t="n"/>
      <c r="C63" s="7" t="n"/>
      <c r="D63" s="7" t="n"/>
    </row>
    <row r="64">
      <c r="A64" s="7" t="n"/>
      <c r="C64" s="7" t="n"/>
      <c r="D64" s="7" t="n"/>
    </row>
    <row r="65" customFormat="1" s="7">
      <c r="B65" s="710" t="n"/>
    </row>
    <row r="66" customFormat="1" s="7">
      <c r="B66" s="710" t="n"/>
    </row>
    <row r="67" customFormat="1" s="7">
      <c r="B67" s="710" t="n"/>
    </row>
    <row r="68" customFormat="1" s="7">
      <c r="B68" s="710" t="n"/>
    </row>
    <row r="69" customFormat="1" s="7">
      <c r="B69" s="710" t="n"/>
    </row>
    <row r="70" customFormat="1" s="7">
      <c r="B70" s="710" t="n"/>
    </row>
    <row r="71" customFormat="1" s="7">
      <c r="B71" s="710" t="n"/>
    </row>
    <row r="72" customFormat="1" s="7">
      <c r="B72" s="710" t="n"/>
    </row>
  </sheetData>
  <pageMargins left="0.7086614173228347" right="0.7086614173228347" top="0.7480314960629921" bottom="0.7480314960629921" header="0.3149606299212598" footer="0.3149606299212598"/>
  <pageSetup orientation="portrait" paperSize="9" scale="74"/>
  <headerFooter>
    <oddHeader>&amp;C&amp;F!&amp;A</oddHeader>
    <oddFooter>&amp;CPage 9 of 12&amp;R?2016</oddFooter>
    <evenHeader/>
    <evenFooter/>
    <firstHeader/>
    <firstFooter/>
  </headerFooter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10">
    <outlinePr summaryBelow="1" summaryRight="1"/>
    <pageSetUpPr/>
  </sheetPr>
  <dimension ref="A2:L36"/>
  <sheetViews>
    <sheetView view="pageBreakPreview" zoomScale="60" zoomScaleNormal="100" workbookViewId="0">
      <selection activeCell="B2" sqref="B2"/>
    </sheetView>
  </sheetViews>
  <sheetFormatPr baseColWidth="8" defaultRowHeight="12.75"/>
  <cols>
    <col width="3" customWidth="1" min="1" max="1"/>
    <col width="23.7109375" bestFit="1" customWidth="1" min="2" max="2"/>
    <col width="15.7109375" customWidth="1" min="3" max="3"/>
    <col width="1" customWidth="1" min="4" max="4"/>
    <col width="15.7109375" customWidth="1" min="5" max="5"/>
    <col width="1" customWidth="1" min="6" max="6"/>
    <col width="15.7109375" customWidth="1" min="7" max="7"/>
    <col width="1" customWidth="1" min="8" max="8"/>
    <col width="15.7109375" customWidth="1" min="9" max="9"/>
    <col width="1" customWidth="1" min="10" max="10"/>
    <col width="16.7109375" customWidth="1" min="11" max="11"/>
  </cols>
  <sheetData>
    <row r="2" ht="9.75" customHeight="1">
      <c r="G2" s="70" t="n"/>
      <c r="H2" s="9" t="n"/>
    </row>
    <row r="3" ht="15" customHeight="1">
      <c r="G3" s="71" t="n"/>
      <c r="H3" s="9" t="n"/>
    </row>
    <row r="4" ht="9" customHeight="1">
      <c r="G4" s="14" t="n"/>
      <c r="H4" s="9" t="n"/>
    </row>
    <row r="5">
      <c r="G5" s="9" t="n"/>
      <c r="H5" s="9" t="n"/>
    </row>
    <row r="6" ht="18" customHeight="1">
      <c r="A6" s="74" t="inlineStr">
        <is>
          <t>BALANCE SHEET</t>
        </is>
      </c>
      <c r="B6" s="9" t="n"/>
      <c r="C6" s="9" t="n"/>
      <c r="D6" s="9" t="n"/>
      <c r="E6" s="9" t="n"/>
      <c r="F6" s="9" t="n"/>
      <c r="G6" s="9" t="n"/>
      <c r="H6" s="9" t="n"/>
      <c r="I6" s="9" t="n"/>
      <c r="K6" s="9" t="n"/>
    </row>
    <row r="7">
      <c r="A7" s="9" t="n"/>
      <c r="B7" s="9" t="n"/>
      <c r="C7" s="9" t="n"/>
      <c r="D7" s="9" t="n"/>
      <c r="E7" s="9" t="n"/>
      <c r="F7" s="9" t="n"/>
      <c r="G7" s="9" t="n"/>
      <c r="H7" s="9" t="n"/>
      <c r="I7" s="9" t="n"/>
      <c r="K7" s="9" t="n"/>
    </row>
    <row r="8">
      <c r="A8" s="9" t="n"/>
      <c r="B8" s="9" t="n"/>
      <c r="C8" s="9" t="n"/>
      <c r="D8" s="9" t="n"/>
      <c r="E8" s="9" t="n"/>
      <c r="F8" s="9" t="n"/>
      <c r="G8" s="9" t="n"/>
      <c r="H8" s="9" t="n"/>
      <c r="I8" s="9" t="n"/>
      <c r="K8" s="9" t="n"/>
    </row>
    <row r="9" ht="16.5" customHeight="1">
      <c r="A9" s="9" t="n"/>
      <c r="B9" s="719" t="n"/>
      <c r="C9" s="40" t="inlineStr">
        <is>
          <t>Year 1</t>
        </is>
      </c>
      <c r="D9" s="40" t="n"/>
      <c r="E9" s="40" t="inlineStr">
        <is>
          <t>Year 2</t>
        </is>
      </c>
      <c r="F9" s="40" t="n"/>
      <c r="G9" s="40" t="inlineStr">
        <is>
          <t>Year 3</t>
        </is>
      </c>
      <c r="H9" s="9" t="n"/>
      <c r="I9" s="40" t="inlineStr">
        <is>
          <t>Year 4</t>
        </is>
      </c>
      <c r="J9" s="40" t="n"/>
      <c r="K9" s="40" t="inlineStr">
        <is>
          <t>Year 5</t>
        </is>
      </c>
      <c r="L9" s="7" t="n"/>
    </row>
    <row r="10" ht="15.75" customHeight="1">
      <c r="A10" s="711" t="n"/>
      <c r="B10" s="9" t="n"/>
      <c r="C10" s="37" t="inlineStr">
        <is>
          <t>$</t>
        </is>
      </c>
      <c r="D10" s="38" t="n"/>
      <c r="E10" s="37" t="inlineStr">
        <is>
          <t>$</t>
        </is>
      </c>
      <c r="F10" s="38" t="n"/>
      <c r="G10" s="37" t="inlineStr">
        <is>
          <t>$</t>
        </is>
      </c>
      <c r="H10" s="9" t="n"/>
      <c r="I10" s="37" t="inlineStr">
        <is>
          <t>$</t>
        </is>
      </c>
      <c r="J10" s="38" t="n"/>
      <c r="K10" s="37" t="inlineStr">
        <is>
          <t>$</t>
        </is>
      </c>
      <c r="L10" s="38" t="n"/>
    </row>
    <row r="11">
      <c r="A11" s="711" t="inlineStr">
        <is>
          <t>Fixed Assets</t>
        </is>
      </c>
      <c r="B11" s="9" t="n"/>
      <c r="C11" s="710" t="n"/>
      <c r="D11" s="710" t="n"/>
      <c r="E11" s="9" t="n"/>
      <c r="F11" s="9" t="n"/>
      <c r="G11" s="9" t="n"/>
      <c r="H11" s="9" t="n"/>
      <c r="I11" s="9" t="n"/>
      <c r="K11" s="9" t="n"/>
    </row>
    <row r="12">
      <c r="A12" s="711" t="n"/>
      <c r="B12" s="710" t="inlineStr">
        <is>
          <t>Equipment</t>
        </is>
      </c>
      <c r="C12" s="714">
        <f>SUMIF('BS Mnthly'!$B:$B,BSYrly!$B12,'BS Mnthly'!O:O)</f>
        <v/>
      </c>
      <c r="D12" s="714" t="n"/>
      <c r="E12" s="714">
        <f>SUMIF('BS Mnthly'!$B:$B,BSYrly!$B12,'BS Mnthly'!AC:AC)</f>
        <v/>
      </c>
      <c r="F12" s="714" t="n"/>
      <c r="G12" s="714">
        <f>SUMIF('BS Mnthly'!$B:$B,BSYrly!$B12,'BS Mnthly'!AQ:AQ)</f>
        <v/>
      </c>
      <c r="H12" s="9" t="n"/>
      <c r="I12" s="714">
        <f>'BS Mnthly'!BD9</f>
        <v/>
      </c>
      <c r="K12" s="714">
        <f>'BS Mnthly'!BQ9</f>
        <v/>
      </c>
    </row>
    <row r="13">
      <c r="A13" s="711" t="n"/>
      <c r="B13" s="9" t="n"/>
      <c r="C13" s="714" t="n"/>
      <c r="D13" s="714" t="n"/>
      <c r="E13" s="720" t="n"/>
      <c r="F13" s="720" t="n"/>
      <c r="G13" s="720" t="n"/>
      <c r="H13" s="9" t="n"/>
      <c r="I13" s="720" t="n"/>
      <c r="K13" s="720" t="n"/>
    </row>
    <row r="14">
      <c r="A14" s="711" t="n"/>
      <c r="B14" s="9" t="n"/>
      <c r="C14" s="714" t="n"/>
      <c r="D14" s="714" t="n"/>
      <c r="E14" s="720" t="n"/>
      <c r="F14" s="720" t="n"/>
      <c r="G14" s="720" t="n"/>
      <c r="H14" s="9" t="n"/>
      <c r="I14" s="720" t="n"/>
      <c r="K14" s="720" t="n"/>
    </row>
    <row r="15">
      <c r="A15" s="711" t="inlineStr">
        <is>
          <t>Current Assets</t>
        </is>
      </c>
      <c r="B15" s="9" t="n"/>
      <c r="C15" s="714" t="n"/>
      <c r="D15" s="714" t="n"/>
      <c r="E15" s="720" t="n"/>
      <c r="F15" s="720" t="n"/>
      <c r="G15" s="720" t="n"/>
      <c r="H15" s="9" t="n"/>
      <c r="I15" s="720" t="n"/>
      <c r="K15" s="720" t="n"/>
    </row>
    <row r="16">
      <c r="A16" s="711" t="n"/>
      <c r="B16" s="710" t="inlineStr">
        <is>
          <t>Cash in hand and at bank</t>
        </is>
      </c>
      <c r="C16" s="714">
        <f>SUMIF('BS Mnthly'!$B:$B,BSYrly!$B16,'BS Mnthly'!O:O)</f>
        <v/>
      </c>
      <c r="D16" s="714" t="n"/>
      <c r="E16" s="714">
        <f>SUMIF('BS Mnthly'!$B:$B,BSYrly!$B16,'BS Mnthly'!AC:AC)</f>
        <v/>
      </c>
      <c r="F16" s="714" t="n"/>
      <c r="G16" s="714">
        <f>SUMIF('BS Mnthly'!$B:$B,BSYrly!$B16,'BS Mnthly'!AQ:AQ)</f>
        <v/>
      </c>
      <c r="H16" s="9" t="n"/>
      <c r="I16" s="714">
        <f>'BS Mnthly'!BD13</f>
        <v/>
      </c>
      <c r="K16" s="714">
        <f>'BS Mnthly'!BQ13</f>
        <v/>
      </c>
    </row>
    <row r="17">
      <c r="A17" s="711" t="n"/>
      <c r="B17" s="9" t="n"/>
      <c r="C17" s="720" t="n"/>
      <c r="D17" s="720" t="n"/>
      <c r="E17" s="720" t="n"/>
      <c r="F17" s="720" t="n"/>
      <c r="G17" s="720" t="n"/>
      <c r="H17" s="9" t="n"/>
      <c r="I17" s="720" t="n"/>
      <c r="K17" s="720" t="n"/>
    </row>
    <row r="18">
      <c r="A18" s="711" t="inlineStr">
        <is>
          <t>Current Liabilities</t>
        </is>
      </c>
      <c r="B18" s="9" t="n"/>
      <c r="C18" s="720" t="n"/>
      <c r="D18" s="720" t="n"/>
      <c r="E18" s="720" t="n"/>
      <c r="F18" s="720" t="n"/>
      <c r="G18" s="720" t="n"/>
      <c r="H18" s="9" t="n"/>
      <c r="I18" s="720" t="n"/>
      <c r="K18" s="720" t="n"/>
    </row>
    <row r="19">
      <c r="A19" s="711" t="n"/>
      <c r="B19" s="710" t="inlineStr">
        <is>
          <t>Short Term Loan</t>
        </is>
      </c>
      <c r="C19" s="714">
        <f>SUMIF('BS Mnthly'!$B:$B,BSYrly!$B19,'BS Mnthly'!O:O)</f>
        <v/>
      </c>
      <c r="D19" s="714" t="n"/>
      <c r="E19" s="714">
        <f>SUMIF('BS Mnthly'!$B:$B,BSYrly!$B19,'BS Mnthly'!AC:AC)</f>
        <v/>
      </c>
      <c r="F19" s="714" t="n"/>
      <c r="G19" s="714">
        <f>SUMIF('BS Mnthly'!$B:$B,BSYrly!$B19,'BS Mnthly'!AQ:AQ)</f>
        <v/>
      </c>
      <c r="H19" s="9" t="n"/>
      <c r="I19" s="714">
        <f>'BS Mnthly'!BD16</f>
        <v/>
      </c>
      <c r="K19" s="714">
        <f>'BS Mnthly'!BQ16</f>
        <v/>
      </c>
    </row>
    <row r="20">
      <c r="A20" s="711" t="n"/>
      <c r="B20" s="9" t="n"/>
      <c r="C20" s="720" t="n"/>
      <c r="D20" s="720" t="n"/>
      <c r="E20" s="720" t="n"/>
      <c r="F20" s="720" t="n"/>
      <c r="G20" s="720" t="n"/>
      <c r="H20" s="9" t="n"/>
      <c r="I20" s="720" t="n"/>
      <c r="K20" s="720" t="n"/>
    </row>
    <row r="21" customFormat="1" s="3">
      <c r="A21" s="711" t="n"/>
      <c r="B21" s="3" t="inlineStr">
        <is>
          <t>Net Current Assets</t>
        </is>
      </c>
      <c r="C21" s="716">
        <f>SUMIF('BS Mnthly'!B:B,BSYrly!B21,'BS Mnthly'!O:O)</f>
        <v/>
      </c>
      <c r="D21" s="716" t="n"/>
      <c r="E21" s="716">
        <f>SUMIF('BS Mnthly'!$B:$B,BSYrly!$B21,'BS Mnthly'!AC:AC)</f>
        <v/>
      </c>
      <c r="F21" s="716" t="n"/>
      <c r="G21" s="716">
        <f>SUMIF('BS Mnthly'!$B:$B,BSYrly!$B21,'BS Mnthly'!AQ:AQ)</f>
        <v/>
      </c>
      <c r="I21" s="716">
        <f>'BS Mnthly'!BD18</f>
        <v/>
      </c>
      <c r="K21" s="716">
        <f>'BS Mnthly'!BQ18</f>
        <v/>
      </c>
    </row>
    <row r="22">
      <c r="A22" s="711" t="n"/>
      <c r="B22" s="9" t="n"/>
      <c r="C22" s="714" t="n"/>
      <c r="D22" s="714" t="n"/>
      <c r="E22" s="720" t="n"/>
      <c r="F22" s="720" t="n"/>
      <c r="G22" s="720" t="n"/>
      <c r="H22" s="9" t="n"/>
      <c r="I22" s="720" t="n"/>
      <c r="K22" s="720" t="n"/>
    </row>
    <row r="23" ht="13.5" customHeight="1" thickBot="1">
      <c r="A23" s="711" t="inlineStr">
        <is>
          <t>Net Assets</t>
        </is>
      </c>
      <c r="B23" s="9" t="n"/>
      <c r="C23" s="718">
        <f>C12+C21</f>
        <v/>
      </c>
      <c r="D23" s="716" t="n"/>
      <c r="E23" s="718">
        <f>E12+E21</f>
        <v/>
      </c>
      <c r="F23" s="716" t="n"/>
      <c r="G23" s="718">
        <f>G12+G21</f>
        <v/>
      </c>
      <c r="H23" s="9" t="n"/>
      <c r="I23" s="718">
        <f>I12+I21</f>
        <v/>
      </c>
      <c r="K23" s="718">
        <f>K12+K21</f>
        <v/>
      </c>
    </row>
    <row r="24" ht="13.5" customHeight="1" thickTop="1">
      <c r="A24" s="711" t="n"/>
      <c r="B24" s="9" t="n"/>
      <c r="C24" s="714" t="n"/>
      <c r="D24" s="714" t="n"/>
      <c r="E24" s="720" t="n"/>
      <c r="F24" s="720" t="n"/>
      <c r="G24" s="720" t="n"/>
      <c r="H24" s="9" t="n"/>
      <c r="I24" s="720" t="n"/>
      <c r="K24" s="720" t="n"/>
    </row>
    <row r="25">
      <c r="A25" s="711" t="n"/>
      <c r="B25" s="9" t="n"/>
      <c r="C25" s="714" t="n"/>
      <c r="D25" s="714" t="n"/>
      <c r="E25" s="720" t="n"/>
      <c r="F25" s="720" t="n"/>
      <c r="G25" s="720" t="n"/>
      <c r="H25" s="9" t="n"/>
      <c r="I25" s="720" t="n"/>
      <c r="K25" s="720" t="n"/>
    </row>
    <row r="26">
      <c r="A26" s="3" t="inlineStr">
        <is>
          <t>Equity</t>
        </is>
      </c>
      <c r="B26" s="9" t="n"/>
      <c r="C26" s="714" t="n"/>
      <c r="D26" s="714" t="n"/>
      <c r="E26" s="720" t="n"/>
      <c r="F26" s="720" t="n"/>
      <c r="G26" s="720" t="n"/>
      <c r="H26" s="9" t="n"/>
      <c r="I26" s="720" t="n"/>
      <c r="K26" s="720" t="n"/>
    </row>
    <row r="27">
      <c r="A27" s="711" t="n"/>
      <c r="B27" s="9" t="inlineStr">
        <is>
          <t>Share Capital</t>
        </is>
      </c>
      <c r="C27" s="714">
        <f>SUMIF('BS Mnthly'!$B:$B,BSYrly!$B27,'BS Mnthly'!O:O)</f>
        <v/>
      </c>
      <c r="D27" s="714" t="n"/>
      <c r="E27" s="714">
        <f>SUMIF('BS Mnthly'!$B:$B,BSYrly!$B27,'BS Mnthly'!AC:AC)</f>
        <v/>
      </c>
      <c r="F27" s="714" t="n"/>
      <c r="G27" s="714">
        <f>SUMIF('BS Mnthly'!$B:$B,BSYrly!$B27,'BS Mnthly'!AQ:AQ)</f>
        <v/>
      </c>
      <c r="H27" s="9" t="n"/>
      <c r="I27" s="714">
        <f>'BS Mnthly'!BD24</f>
        <v/>
      </c>
      <c r="K27" s="714">
        <f>'BS Mnthly'!BQ24</f>
        <v/>
      </c>
    </row>
    <row r="28">
      <c r="A28" s="711" t="n"/>
      <c r="B28" s="9" t="inlineStr">
        <is>
          <t>Profit and Loss Account</t>
        </is>
      </c>
      <c r="C28" s="714">
        <f>SUMIF('BS Mnthly'!$B:$B,BSYrly!$B28,'BS Mnthly'!O:O)</f>
        <v/>
      </c>
      <c r="D28" s="714" t="n"/>
      <c r="E28" s="714">
        <f>SUMIF('BS Mnthly'!$B:$B,BSYrly!$B28,'BS Mnthly'!AC:AC)</f>
        <v/>
      </c>
      <c r="F28" s="714" t="n"/>
      <c r="G28" s="714">
        <f>SUMIF('BS Mnthly'!$B:$B,BSYrly!$B28,'BS Mnthly'!AQ:AQ)</f>
        <v/>
      </c>
      <c r="H28" s="9" t="n"/>
      <c r="I28" s="714">
        <f>'BS Mnthly'!BD25</f>
        <v/>
      </c>
      <c r="K28" s="714">
        <f>'BS Mnthly'!BQ25</f>
        <v/>
      </c>
    </row>
    <row r="29">
      <c r="A29" s="711" t="n"/>
      <c r="B29" s="9" t="n"/>
      <c r="C29" s="716" t="n"/>
      <c r="D29" s="716" t="n"/>
      <c r="E29" s="720" t="n"/>
      <c r="F29" s="720" t="n"/>
      <c r="G29" s="720" t="n"/>
      <c r="H29" s="9" t="n"/>
      <c r="I29" s="714">
        <f>'BS Mnthly'!BD26</f>
        <v/>
      </c>
      <c r="K29" s="714">
        <f>'BS Mnthly'!BQ26</f>
        <v/>
      </c>
    </row>
    <row r="30" ht="13.5" customHeight="1" thickBot="1">
      <c r="A30" s="711" t="inlineStr">
        <is>
          <t>Shareholders' Funds</t>
        </is>
      </c>
      <c r="B30" s="9" t="n"/>
      <c r="C30" s="718">
        <f>SUM(C27:C28)</f>
        <v/>
      </c>
      <c r="D30" s="716" t="n"/>
      <c r="E30" s="718">
        <f>SUM(E27:E28)</f>
        <v/>
      </c>
      <c r="F30" s="716" t="n"/>
      <c r="G30" s="718">
        <f>SUM(G27:G28)</f>
        <v/>
      </c>
      <c r="H30" s="9" t="n"/>
      <c r="I30" s="718">
        <f>SUM(I27:I28)</f>
        <v/>
      </c>
      <c r="K30" s="718">
        <f>SUM(K27:K28)</f>
        <v/>
      </c>
    </row>
    <row r="31" ht="13.5" customHeight="1" thickTop="1">
      <c r="A31" s="9" t="n"/>
      <c r="B31" s="9" t="n"/>
      <c r="C31" s="720" t="n"/>
      <c r="D31" s="720" t="n"/>
      <c r="E31" s="720" t="n"/>
      <c r="F31" s="720" t="n"/>
      <c r="G31" s="720" t="n"/>
      <c r="H31" s="9" t="n"/>
      <c r="I31" s="720" t="n"/>
      <c r="K31" s="720" t="n"/>
    </row>
    <row r="33">
      <c r="A33" t="inlineStr">
        <is>
          <t>20% of shareholding =</t>
        </is>
      </c>
      <c r="C33" s="707">
        <f>SUM(C30/100*20)</f>
        <v/>
      </c>
      <c r="E33" s="707">
        <f>SUM(E28/100*20)</f>
        <v/>
      </c>
      <c r="G33" s="707">
        <f>SUM(G28/100*20)</f>
        <v/>
      </c>
      <c r="I33" s="707">
        <f>SUM(I28/100*20)</f>
        <v/>
      </c>
      <c r="K33" s="707">
        <f>SUM(K28/100*20)</f>
        <v/>
      </c>
    </row>
    <row r="34">
      <c r="A34" t="inlineStr">
        <is>
          <t>10% of shareholding =</t>
        </is>
      </c>
      <c r="C34" s="707">
        <f>SUM(C30/100*10)</f>
        <v/>
      </c>
      <c r="E34" s="707">
        <f>SUM(E30/100*10)</f>
        <v/>
      </c>
      <c r="G34" s="707">
        <f>SUM(G30/100*10)</f>
        <v/>
      </c>
      <c r="I34" s="707">
        <f>SUM(I30/100*10)</f>
        <v/>
      </c>
      <c r="K34" s="707">
        <f>SUM(K30/100*10)</f>
        <v/>
      </c>
    </row>
    <row r="35">
      <c r="A35" t="inlineStr">
        <is>
          <t>5% of shareholding =</t>
        </is>
      </c>
      <c r="C35" s="707">
        <f>SUM(C30/100*5)</f>
        <v/>
      </c>
      <c r="E35" s="707">
        <f>SUM(E30/100*5)</f>
        <v/>
      </c>
      <c r="G35" s="707">
        <f>SUM(G30/100*5)</f>
        <v/>
      </c>
      <c r="I35" s="707">
        <f>SUM(I30/100*5)</f>
        <v/>
      </c>
      <c r="K35" s="707">
        <f>SUM(K30/100*5)</f>
        <v/>
      </c>
    </row>
    <row r="36">
      <c r="A36" t="inlineStr">
        <is>
          <t>1% of shareholding =</t>
        </is>
      </c>
      <c r="C36" s="707">
        <f>SUM(C30/100*1)</f>
        <v/>
      </c>
      <c r="E36" s="707">
        <f>SUM(E30/100*1)</f>
        <v/>
      </c>
      <c r="G36" s="707">
        <f>SUM(G30/100*1)</f>
        <v/>
      </c>
      <c r="I36" s="707">
        <f>SUM(I30/100*1)</f>
        <v/>
      </c>
      <c r="K36" s="707">
        <f>SUM(K30/100*1)</f>
        <v/>
      </c>
    </row>
  </sheetData>
  <pageMargins left="0.7086614173228347" right="0.7086614173228347" top="0.7480314960629921" bottom="0.7480314960629921" header="0.3149606299212598" footer="0.3149606299212598"/>
  <pageSetup orientation="portrait" paperSize="9" scale="79"/>
  <headerFooter>
    <oddHeader>&amp;C&amp;F!&amp;A</oddHeader>
    <oddFooter>&amp;CPage 10 of 12&amp;R?2016</oddFooter>
    <evenHeader/>
    <evenFooter/>
    <firstHeader/>
    <firstFooter/>
  </headerFooter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11">
    <outlinePr summaryBelow="1" summaryRight="1"/>
    <pageSetUpPr fitToPage="1"/>
  </sheetPr>
  <dimension ref="A2:L23"/>
  <sheetViews>
    <sheetView view="pageBreakPreview" zoomScaleNormal="100" zoomScaleSheetLayoutView="100" workbookViewId="0">
      <selection activeCell="A2" sqref="A2"/>
    </sheetView>
  </sheetViews>
  <sheetFormatPr baseColWidth="8" defaultRowHeight="12.75"/>
  <cols>
    <col width="34.28515625" customWidth="1" min="1" max="1"/>
    <col width="15.7109375" customWidth="1" style="714" min="2" max="2"/>
    <col width="0.85546875" customWidth="1" style="701" min="3" max="3"/>
    <col width="15.7109375" customWidth="1" style="714" min="4" max="4"/>
    <col width="0.85546875" customWidth="1" style="714" min="5" max="5"/>
    <col width="15.7109375" customWidth="1" style="714" min="6" max="6"/>
    <col width="0.85546875" customWidth="1" style="714" min="7" max="7"/>
    <col width="15.7109375" customWidth="1" min="8" max="8"/>
    <col width="0.85546875" customWidth="1" min="9" max="9"/>
    <col width="15.7109375" customWidth="1" min="10" max="10"/>
    <col width="1.5703125" customWidth="1" min="11" max="11"/>
  </cols>
  <sheetData>
    <row r="2" ht="12" customHeight="1">
      <c r="F2" s="70" t="n"/>
      <c r="G2" s="70" t="n"/>
      <c r="H2" s="9" t="n"/>
      <c r="I2" s="9" t="n"/>
    </row>
    <row r="3" ht="12.75" customHeight="1">
      <c r="F3" s="71" t="n"/>
      <c r="G3" s="71" t="n"/>
      <c r="H3" s="9" t="n"/>
      <c r="I3" s="9" t="n"/>
    </row>
    <row r="4" ht="11.25" customHeight="1">
      <c r="F4" s="14" t="n"/>
      <c r="G4" s="14" t="n"/>
      <c r="H4" s="9" t="n"/>
      <c r="I4" s="9" t="n"/>
    </row>
    <row r="5">
      <c r="F5" s="9" t="n"/>
      <c r="G5" s="9" t="n"/>
      <c r="H5" s="9" t="n"/>
      <c r="I5" s="9" t="n"/>
    </row>
    <row r="6" ht="18" customHeight="1">
      <c r="A6" s="74" t="inlineStr">
        <is>
          <t>CASHFLOW</t>
        </is>
      </c>
      <c r="F6" s="9" t="n"/>
      <c r="G6" s="9" t="n"/>
      <c r="H6" s="9" t="n"/>
      <c r="I6" s="9" t="n"/>
    </row>
    <row r="7" ht="15" customHeight="1">
      <c r="B7" s="40" t="inlineStr">
        <is>
          <t>Year 1</t>
        </is>
      </c>
      <c r="C7" s="40" t="n"/>
      <c r="D7" s="40" t="inlineStr">
        <is>
          <t>Year 2</t>
        </is>
      </c>
      <c r="E7" s="40" t="n"/>
      <c r="F7" s="40" t="inlineStr">
        <is>
          <t>Year 3</t>
        </is>
      </c>
      <c r="G7" s="40" t="n"/>
      <c r="H7" s="40" t="inlineStr">
        <is>
          <t>Year 4</t>
        </is>
      </c>
      <c r="I7" s="40" t="n"/>
      <c r="J7" s="40" t="inlineStr">
        <is>
          <t>Year 5</t>
        </is>
      </c>
      <c r="K7" s="40" t="n"/>
      <c r="L7" s="40" t="n"/>
    </row>
    <row r="8" ht="15.75" customHeight="1">
      <c r="B8" s="37" t="inlineStr">
        <is>
          <t>$</t>
        </is>
      </c>
      <c r="C8" s="38" t="n"/>
      <c r="D8" s="37" t="inlineStr">
        <is>
          <t>$</t>
        </is>
      </c>
      <c r="E8" s="38" t="n"/>
      <c r="F8" s="37" t="inlineStr">
        <is>
          <t>$</t>
        </is>
      </c>
      <c r="G8" s="37" t="n"/>
      <c r="H8" s="37" t="inlineStr">
        <is>
          <t>$</t>
        </is>
      </c>
      <c r="I8" s="37" t="n"/>
      <c r="J8" s="37" t="inlineStr">
        <is>
          <t>$</t>
        </is>
      </c>
      <c r="K8" s="37" t="n"/>
      <c r="L8" s="37" t="n"/>
    </row>
    <row r="9">
      <c r="A9">
        <f>Calc!A65</f>
        <v/>
      </c>
      <c r="B9" s="714">
        <f>'CF Monthly'!O8</f>
        <v/>
      </c>
      <c r="D9" s="714">
        <f>B21</f>
        <v/>
      </c>
      <c r="F9" s="714">
        <f>D21</f>
        <v/>
      </c>
      <c r="H9" s="714">
        <f>F21</f>
        <v/>
      </c>
      <c r="I9" s="714" t="n"/>
      <c r="J9" s="714">
        <f>H21</f>
        <v/>
      </c>
      <c r="K9" s="714" t="n"/>
      <c r="L9" s="714" t="n"/>
    </row>
    <row r="10">
      <c r="D10" s="714">
        <f>Calc!P66</f>
        <v/>
      </c>
      <c r="F10" s="714">
        <f>Calc!Q66</f>
        <v/>
      </c>
      <c r="H10" s="714">
        <f>Calc!R66</f>
        <v/>
      </c>
      <c r="I10" s="714" t="n"/>
      <c r="J10" s="714">
        <f>Calc!S66</f>
        <v/>
      </c>
      <c r="K10" s="714" t="n"/>
      <c r="L10" s="714" t="n"/>
    </row>
    <row r="11">
      <c r="A11" t="inlineStr">
        <is>
          <t>Incoming Cash flow</t>
        </is>
      </c>
      <c r="B11" s="714">
        <f>'CF Monthly'!O10+'CF Monthly'!O11</f>
        <v/>
      </c>
      <c r="D11" s="714">
        <f>Calc!P67</f>
        <v/>
      </c>
      <c r="F11" s="714">
        <f>Calc!Q67</f>
        <v/>
      </c>
      <c r="H11" s="714">
        <f>Calc!R67</f>
        <v/>
      </c>
      <c r="I11" s="714" t="n"/>
      <c r="J11" s="714">
        <f>Calc!S67</f>
        <v/>
      </c>
      <c r="K11" s="714" t="n"/>
      <c r="L11" s="714" t="n"/>
    </row>
    <row r="12">
      <c r="A12" t="inlineStr">
        <is>
          <t>Outgoing Cash flow</t>
        </is>
      </c>
      <c r="B12" s="721">
        <f>'CF Monthly'!O12</f>
        <v/>
      </c>
      <c r="D12" s="714">
        <f>Calc!P68</f>
        <v/>
      </c>
      <c r="F12" s="714">
        <f>Calc!Q68</f>
        <v/>
      </c>
      <c r="H12" s="714">
        <f>Calc!R68</f>
        <v/>
      </c>
      <c r="I12" s="714" t="n"/>
      <c r="J12" s="714">
        <f>Calc!S68</f>
        <v/>
      </c>
      <c r="K12" s="714" t="n"/>
      <c r="L12" s="714" t="n"/>
    </row>
    <row r="13">
      <c r="A13" s="3">
        <f>Calc!A69</f>
        <v/>
      </c>
      <c r="B13" s="722">
        <f>B11+B12</f>
        <v/>
      </c>
      <c r="D13" s="722">
        <f>D11+D12</f>
        <v/>
      </c>
      <c r="F13" s="722">
        <f>F11+F12</f>
        <v/>
      </c>
      <c r="G13" s="722" t="n"/>
      <c r="H13" s="722">
        <f>H11+H12</f>
        <v/>
      </c>
      <c r="I13" s="722" t="n"/>
      <c r="J13" s="722">
        <f>J11+J12</f>
        <v/>
      </c>
      <c r="K13" s="714" t="n"/>
      <c r="L13" s="714" t="n"/>
    </row>
    <row r="14">
      <c r="D14" s="714">
        <f>Calc!P70</f>
        <v/>
      </c>
      <c r="F14" s="714">
        <f>Calc!Q70</f>
        <v/>
      </c>
      <c r="H14" s="714">
        <f>Calc!R70</f>
        <v/>
      </c>
      <c r="I14" s="714" t="n"/>
      <c r="J14" s="714">
        <f>Calc!S70</f>
        <v/>
      </c>
      <c r="K14" s="714" t="n"/>
      <c r="L14" s="714" t="n"/>
    </row>
    <row r="15">
      <c r="A15">
        <f>Calc!A71</f>
        <v/>
      </c>
      <c r="B15" s="714">
        <f>'CF Monthly'!O15</f>
        <v/>
      </c>
      <c r="D15" s="714">
        <f>Calc!P71</f>
        <v/>
      </c>
      <c r="F15" s="714">
        <f>Calc!Q71</f>
        <v/>
      </c>
      <c r="H15" s="714">
        <f>Calc!R71</f>
        <v/>
      </c>
      <c r="I15" s="714" t="n"/>
      <c r="J15" s="714">
        <f>Calc!S71</f>
        <v/>
      </c>
      <c r="K15" s="714" t="n"/>
      <c r="L15" s="714" t="n"/>
    </row>
    <row r="16">
      <c r="A16">
        <f>Calc!A72</f>
        <v/>
      </c>
      <c r="B16" s="714">
        <f>'CF Monthly'!O16</f>
        <v/>
      </c>
      <c r="D16" s="714">
        <f>Calc!P72</f>
        <v/>
      </c>
      <c r="F16" s="714">
        <f>Calc!Q72</f>
        <v/>
      </c>
      <c r="H16" s="714">
        <f>Calc!R72</f>
        <v/>
      </c>
      <c r="I16" s="714" t="n"/>
      <c r="J16" s="714">
        <f>Calc!S72</f>
        <v/>
      </c>
      <c r="K16" s="714" t="n"/>
      <c r="L16" s="714" t="n"/>
    </row>
    <row r="17">
      <c r="A17" s="3">
        <f>Calc!A73</f>
        <v/>
      </c>
      <c r="B17" s="722">
        <f>B15+B16</f>
        <v/>
      </c>
      <c r="D17" s="722">
        <f>D15+D16</f>
        <v/>
      </c>
      <c r="F17" s="722">
        <f>F15+F16</f>
        <v/>
      </c>
      <c r="G17" s="722" t="n"/>
      <c r="H17" s="722">
        <f>H15+H16</f>
        <v/>
      </c>
      <c r="I17" s="722" t="n"/>
      <c r="J17" s="722">
        <f>J15+J16</f>
        <v/>
      </c>
      <c r="K17" s="714" t="n"/>
      <c r="L17" s="714" t="n"/>
    </row>
    <row r="18">
      <c r="B18" s="714">
        <f>Calc!O74</f>
        <v/>
      </c>
      <c r="D18" s="714">
        <f>Calc!P74</f>
        <v/>
      </c>
      <c r="F18" s="714">
        <f>Calc!Q74</f>
        <v/>
      </c>
      <c r="H18" s="714">
        <f>Calc!R74</f>
        <v/>
      </c>
      <c r="I18" s="714" t="n"/>
      <c r="J18" s="714">
        <f>Calc!S74</f>
        <v/>
      </c>
      <c r="K18" s="714" t="n"/>
      <c r="L18" s="714" t="n"/>
    </row>
    <row r="19">
      <c r="A19" s="3" t="inlineStr">
        <is>
          <t>TOTAL CASH FLOW FOR MONTH</t>
        </is>
      </c>
      <c r="B19" s="722">
        <f>B13+B17</f>
        <v/>
      </c>
      <c r="D19" s="722">
        <f>D13+D17</f>
        <v/>
      </c>
      <c r="F19" s="722">
        <f>F13+F17</f>
        <v/>
      </c>
      <c r="G19" s="722" t="n"/>
      <c r="H19" s="722">
        <f>H13+H17</f>
        <v/>
      </c>
      <c r="I19" s="722" t="n"/>
      <c r="J19" s="722">
        <f>J13+J17</f>
        <v/>
      </c>
      <c r="K19" s="714" t="n"/>
      <c r="L19" s="714" t="n"/>
    </row>
    <row r="20">
      <c r="H20" s="714" t="n"/>
      <c r="I20" s="714" t="n"/>
      <c r="J20" s="714" t="n"/>
      <c r="K20" s="714" t="n"/>
      <c r="L20" s="714" t="n"/>
    </row>
    <row r="21" customFormat="1" s="3">
      <c r="A21" s="3">
        <f>Calc!A76</f>
        <v/>
      </c>
      <c r="B21" s="716">
        <f>B9+B19</f>
        <v/>
      </c>
      <c r="C21" s="705" t="n"/>
      <c r="D21" s="716">
        <f>D9+D19</f>
        <v/>
      </c>
      <c r="E21" s="716" t="n"/>
      <c r="F21" s="716">
        <f>F9+F19</f>
        <v/>
      </c>
      <c r="G21" s="716" t="n"/>
      <c r="H21" s="716">
        <f>H9+H19</f>
        <v/>
      </c>
      <c r="I21" s="716" t="n"/>
      <c r="J21" s="716">
        <f>J9+J19</f>
        <v/>
      </c>
      <c r="K21" s="716" t="n"/>
      <c r="L21" s="716" t="n"/>
    </row>
    <row r="23">
      <c r="B23" s="721" t="n"/>
    </row>
  </sheetData>
  <pageMargins left="0.7086614173228347" right="0.7086614173228347" top="0.7480314960629921" bottom="0.7480314960629921" header="0.3149606299212598" footer="0.3149606299212598"/>
  <pageSetup orientation="portrait" paperSize="9" scale="70"/>
  <headerFooter>
    <oddHeader>&amp;C&amp;F!&amp;A</oddHeader>
    <oddFooter>&amp;CPage 11 of 12&amp;R?2016</oddFooter>
    <evenHeader/>
    <evenFooter/>
    <firstHeader/>
    <firstFooter/>
  </headerFooter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12">
    <outlinePr summaryBelow="1" summaryRight="1"/>
    <pageSetUpPr/>
  </sheetPr>
  <dimension ref="A2:M174"/>
  <sheetViews>
    <sheetView zoomScale="70" zoomScaleNormal="70" workbookViewId="0">
      <selection activeCell="I16" sqref="I16"/>
    </sheetView>
  </sheetViews>
  <sheetFormatPr baseColWidth="8" defaultRowHeight="12.75"/>
  <cols>
    <col width="40.28515625" customWidth="1" min="1" max="1"/>
    <col width="16" customWidth="1" min="2" max="2"/>
    <col width="16.28515625" customWidth="1" style="710" min="3" max="3"/>
    <col width="16" bestFit="1" customWidth="1" min="4" max="4"/>
    <col width="16.140625" customWidth="1" min="5" max="5"/>
    <col width="17.140625" customWidth="1" min="6" max="6"/>
    <col width="13.85546875" customWidth="1" min="7" max="7"/>
    <col width="14" customWidth="1" min="8" max="9"/>
    <col width="16" customWidth="1" min="10" max="10"/>
    <col width="15" customWidth="1" min="11" max="11"/>
    <col width="15.85546875" customWidth="1" min="12" max="12"/>
    <col width="16.28515625" customWidth="1" min="13" max="13"/>
  </cols>
  <sheetData>
    <row r="2" ht="23.25" customHeight="1">
      <c r="A2" s="59" t="inlineStr">
        <is>
          <t>Page 8</t>
        </is>
      </c>
    </row>
    <row r="4">
      <c r="B4" t="inlineStr">
        <is>
          <t>Sales</t>
        </is>
      </c>
      <c r="C4" s="710" t="inlineStr">
        <is>
          <t>Profit</t>
        </is>
      </c>
    </row>
    <row r="5">
      <c r="A5" s="51" t="inlineStr">
        <is>
          <t>Year 1</t>
        </is>
      </c>
      <c r="B5" s="723">
        <f>PLYrly!C23</f>
        <v/>
      </c>
      <c r="C5" s="710">
        <f>PLYrly!C48</f>
        <v/>
      </c>
    </row>
    <row r="6">
      <c r="A6" s="51" t="inlineStr">
        <is>
          <t>Year 2</t>
        </is>
      </c>
      <c r="B6" s="723">
        <f>PLYrly!E23</f>
        <v/>
      </c>
      <c r="C6" s="710">
        <f>PLYrly!E48</f>
        <v/>
      </c>
    </row>
    <row r="7">
      <c r="A7" s="51" t="inlineStr">
        <is>
          <t>Year 3</t>
        </is>
      </c>
      <c r="B7" s="723">
        <f>PLYrly!G23</f>
        <v/>
      </c>
      <c r="C7" s="710">
        <f>PLYrly!G48</f>
        <v/>
      </c>
    </row>
    <row r="8">
      <c r="A8" s="51" t="inlineStr">
        <is>
          <t>Year 4</t>
        </is>
      </c>
      <c r="B8" s="723">
        <f>PLYrly!I23</f>
        <v/>
      </c>
      <c r="C8" s="710">
        <f>PLYrly!I48</f>
        <v/>
      </c>
    </row>
    <row r="9">
      <c r="A9" s="51" t="inlineStr">
        <is>
          <t>Year 5</t>
        </is>
      </c>
      <c r="B9" s="723">
        <f>PLYrly!K23</f>
        <v/>
      </c>
      <c r="C9" s="710">
        <f>PLYrly!K48</f>
        <v/>
      </c>
    </row>
    <row r="14" ht="23.25" customHeight="1">
      <c r="A14" s="59" t="inlineStr">
        <is>
          <t>Page 13</t>
        </is>
      </c>
    </row>
    <row r="16" ht="13.5" customHeight="1">
      <c r="A16" s="483" t="inlineStr">
        <is>
          <t>Personnel Plan</t>
        </is>
      </c>
      <c r="B16" s="724" t="n"/>
      <c r="C16" s="725" t="n"/>
      <c r="D16" s="41" t="n"/>
      <c r="E16" s="131" t="n"/>
      <c r="F16" s="131" t="n"/>
    </row>
    <row r="17" ht="13.5" customHeight="1">
      <c r="A17" s="41" t="n"/>
      <c r="B17" s="42" t="inlineStr">
        <is>
          <t>Year 1</t>
        </is>
      </c>
      <c r="C17" s="42" t="inlineStr">
        <is>
          <t>Year 2</t>
        </is>
      </c>
      <c r="D17" s="42" t="inlineStr">
        <is>
          <t>Year 3</t>
        </is>
      </c>
      <c r="E17" s="42" t="inlineStr">
        <is>
          <t>Year 4</t>
        </is>
      </c>
      <c r="F17" s="42" t="inlineStr">
        <is>
          <t>Year 5</t>
        </is>
      </c>
    </row>
    <row r="18" ht="7.5" customHeight="1">
      <c r="A18" s="43" t="n"/>
      <c r="B18" s="44" t="n"/>
      <c r="C18" s="44" t="n"/>
      <c r="D18" s="45" t="n"/>
    </row>
    <row r="19" ht="13.5" customHeight="1">
      <c r="A19" s="46" t="inlineStr">
        <is>
          <t>Managing Director</t>
        </is>
      </c>
      <c r="B19" s="47">
        <f>Assums!E41</f>
        <v/>
      </c>
      <c r="C19" s="47">
        <f>Assums!F41</f>
        <v/>
      </c>
      <c r="D19" s="47">
        <f>Assums!G41</f>
        <v/>
      </c>
      <c r="E19" s="47">
        <f>Assums!H41</f>
        <v/>
      </c>
      <c r="F19" s="47">
        <f>Assums!I41</f>
        <v/>
      </c>
    </row>
    <row r="20" ht="13.5" customHeight="1">
      <c r="A20" s="46" t="inlineStr">
        <is>
          <t>Technical Director</t>
        </is>
      </c>
      <c r="B20" s="47">
        <f>Assums!E42</f>
        <v/>
      </c>
      <c r="C20" s="47">
        <f>Assums!F42</f>
        <v/>
      </c>
      <c r="D20" s="47">
        <f>Assums!G42</f>
        <v/>
      </c>
      <c r="E20" s="47">
        <f>Assums!H42</f>
        <v/>
      </c>
      <c r="F20" s="47">
        <f>Assums!I42</f>
        <v/>
      </c>
    </row>
    <row r="21" ht="13.5" customHeight="1">
      <c r="A21" s="46" t="inlineStr">
        <is>
          <t xml:space="preserve">Director of Marketing </t>
        </is>
      </c>
      <c r="B21" s="47">
        <f>Assums!E43</f>
        <v/>
      </c>
      <c r="C21" s="47">
        <f>Assums!F43</f>
        <v/>
      </c>
      <c r="D21" s="47">
        <f>Assums!G43</f>
        <v/>
      </c>
      <c r="E21" s="47">
        <f>Assums!H43</f>
        <v/>
      </c>
      <c r="F21" s="47">
        <f>Assums!I43</f>
        <v/>
      </c>
    </row>
    <row r="22" ht="13.5" customHeight="1">
      <c r="A22" s="46" t="inlineStr">
        <is>
          <t>Head of CCTV and backhaul</t>
        </is>
      </c>
      <c r="B22" s="47" t="n">
        <v>64000</v>
      </c>
      <c r="C22" s="47" t="n">
        <v>74000</v>
      </c>
      <c r="D22" s="47" t="n">
        <v>74000</v>
      </c>
      <c r="E22" s="47" t="n">
        <v>74000</v>
      </c>
      <c r="F22" s="47" t="n">
        <v>74000</v>
      </c>
      <c r="I22" s="498" t="n"/>
      <c r="J22" s="498" t="n"/>
    </row>
    <row r="23" ht="13.5" customHeight="1">
      <c r="A23" s="46" t="inlineStr">
        <is>
          <t>Head of VOIP</t>
        </is>
      </c>
      <c r="B23" s="47" t="n">
        <v>64000</v>
      </c>
      <c r="C23" s="47" t="n">
        <v>74000</v>
      </c>
      <c r="D23" s="47" t="n">
        <v>74000</v>
      </c>
      <c r="E23" s="47" t="n">
        <v>74000</v>
      </c>
      <c r="F23" s="47" t="n">
        <v>74000</v>
      </c>
      <c r="I23" s="498" t="n"/>
      <c r="J23" s="498" t="n"/>
    </row>
    <row r="24" ht="13.5" customHeight="1">
      <c r="A24" s="46" t="inlineStr">
        <is>
          <t>Head of IPTV</t>
        </is>
      </c>
      <c r="B24" s="47" t="n">
        <v>64000</v>
      </c>
      <c r="C24" s="47" t="n">
        <v>74000</v>
      </c>
      <c r="D24" s="47" t="n">
        <v>74000</v>
      </c>
      <c r="E24" s="47" t="n">
        <v>74000</v>
      </c>
      <c r="F24" s="47" t="n">
        <v>74000</v>
      </c>
      <c r="I24" s="498" t="n"/>
      <c r="J24" s="498" t="n"/>
    </row>
    <row r="25" ht="13.5" customHeight="1">
      <c r="A25" s="46" t="inlineStr">
        <is>
          <t>Head of Wifi</t>
        </is>
      </c>
      <c r="B25" s="47" t="n">
        <v>64000</v>
      </c>
      <c r="C25" s="47" t="n">
        <v>74000</v>
      </c>
      <c r="D25" s="47" t="n">
        <v>74000</v>
      </c>
      <c r="E25" s="47" t="n">
        <v>74000</v>
      </c>
      <c r="F25" s="47" t="n">
        <v>74000</v>
      </c>
      <c r="I25" s="498" t="n"/>
      <c r="J25" s="498" t="n"/>
    </row>
    <row r="26" ht="13.5" customHeight="1">
      <c r="A26" s="46" t="inlineStr">
        <is>
          <t>Head of Mobile Offloading</t>
        </is>
      </c>
      <c r="B26" s="47" t="n">
        <v>64000</v>
      </c>
      <c r="C26" s="47" t="n">
        <v>74000</v>
      </c>
      <c r="D26" s="47" t="n">
        <v>74000</v>
      </c>
      <c r="E26" s="47" t="n">
        <v>74000</v>
      </c>
      <c r="F26" s="47" t="n">
        <v>74000</v>
      </c>
      <c r="I26" s="498" t="n"/>
      <c r="J26" s="498" t="n"/>
    </row>
    <row r="27" ht="13.5" customHeight="1">
      <c r="A27" s="46" t="inlineStr">
        <is>
          <t>Marketing Staff</t>
        </is>
      </c>
      <c r="B27" s="47">
        <f>Assums!E49</f>
        <v/>
      </c>
      <c r="C27" s="47">
        <f>Assums!F49</f>
        <v/>
      </c>
      <c r="D27" s="47">
        <f>Assums!G49</f>
        <v/>
      </c>
      <c r="E27" s="47">
        <f>Assums!H49</f>
        <v/>
      </c>
      <c r="F27" s="47">
        <f>Assums!I49</f>
        <v/>
      </c>
    </row>
    <row r="28" ht="13.5" customHeight="1">
      <c r="A28" s="46" t="inlineStr">
        <is>
          <t>Technical Staff Local</t>
        </is>
      </c>
      <c r="B28" s="47">
        <f>Assums!E50</f>
        <v/>
      </c>
      <c r="C28" s="47">
        <f>Assums!F50</f>
        <v/>
      </c>
      <c r="D28" s="47">
        <f>Assums!G50</f>
        <v/>
      </c>
      <c r="E28" s="47">
        <f>Assums!H50</f>
        <v/>
      </c>
      <c r="F28" s="47">
        <f>Assums!I50</f>
        <v/>
      </c>
    </row>
    <row r="29" ht="13.5" customHeight="1">
      <c r="A29" s="46" t="inlineStr">
        <is>
          <t>Technical Staff Control</t>
        </is>
      </c>
      <c r="B29" s="47">
        <f>Assums!E51</f>
        <v/>
      </c>
      <c r="C29" s="47">
        <f>Assums!F51</f>
        <v/>
      </c>
      <c r="D29" s="47">
        <f>Assums!G51</f>
        <v/>
      </c>
      <c r="E29" s="47">
        <f>Assums!H51</f>
        <v/>
      </c>
      <c r="F29" s="47">
        <f>Assums!I51</f>
        <v/>
      </c>
    </row>
    <row r="30" ht="3" customHeight="1">
      <c r="A30" s="48" t="n"/>
      <c r="B30" s="48" t="n"/>
      <c r="C30" s="48" t="n"/>
      <c r="D30" s="48" t="n"/>
      <c r="E30" s="48" t="n"/>
      <c r="F30" s="48" t="n"/>
    </row>
    <row r="31" ht="13.5" customFormat="1" customHeight="1" s="3">
      <c r="A31" s="49" t="inlineStr">
        <is>
          <t>Total</t>
        </is>
      </c>
      <c r="B31" s="50">
        <f>SUM(B19:B29)</f>
        <v/>
      </c>
      <c r="C31" s="50">
        <f>SUM(C19:C29)</f>
        <v/>
      </c>
      <c r="D31" s="50">
        <f>SUM(D19:D29)</f>
        <v/>
      </c>
      <c r="E31" s="50">
        <f>SUM(E19:E29)</f>
        <v/>
      </c>
      <c r="F31" s="50">
        <f>SUM(F19:F29)</f>
        <v/>
      </c>
    </row>
    <row r="42" ht="23.25" customHeight="1">
      <c r="A42" s="59" t="n"/>
    </row>
    <row r="43">
      <c r="A43" s="726">
        <f>Calc!A22</f>
        <v/>
      </c>
      <c r="B43" s="726">
        <f>Calc!O22</f>
        <v/>
      </c>
      <c r="C43" s="710">
        <f>Calc!P22</f>
        <v/>
      </c>
      <c r="D43" s="726">
        <f>Calc!Q22</f>
        <v/>
      </c>
      <c r="E43" s="726">
        <f>Calc!R22</f>
        <v/>
      </c>
      <c r="F43" s="726">
        <f>Calc!S22</f>
        <v/>
      </c>
    </row>
    <row r="44">
      <c r="A44" s="726">
        <f>Calc!A23</f>
        <v/>
      </c>
      <c r="B44" s="726">
        <f>Calc!O23</f>
        <v/>
      </c>
      <c r="C44" s="710">
        <f>Calc!P23</f>
        <v/>
      </c>
      <c r="D44" s="726">
        <f>Calc!Q23</f>
        <v/>
      </c>
      <c r="E44" s="726">
        <f>Calc!R23</f>
        <v/>
      </c>
      <c r="F44" s="726">
        <f>Calc!S23</f>
        <v/>
      </c>
    </row>
    <row r="45">
      <c r="A45" s="726">
        <f>Calc!A24</f>
        <v/>
      </c>
      <c r="B45" s="726">
        <f>Calc!O24</f>
        <v/>
      </c>
      <c r="C45" s="710">
        <f>Calc!P24</f>
        <v/>
      </c>
      <c r="D45" s="726">
        <f>Calc!Q24</f>
        <v/>
      </c>
      <c r="E45" s="726">
        <f>Calc!R24</f>
        <v/>
      </c>
      <c r="F45" s="726">
        <f>Calc!S24</f>
        <v/>
      </c>
    </row>
    <row r="46">
      <c r="A46" s="726">
        <f>Calc!A25</f>
        <v/>
      </c>
      <c r="B46" s="726">
        <f>Calc!O25</f>
        <v/>
      </c>
      <c r="C46" s="710">
        <f>Calc!P25</f>
        <v/>
      </c>
      <c r="D46" s="726">
        <f>Calc!Q25</f>
        <v/>
      </c>
      <c r="E46" s="726">
        <f>Calc!R25</f>
        <v/>
      </c>
      <c r="F46" s="726">
        <f>Calc!S25</f>
        <v/>
      </c>
    </row>
    <row r="47">
      <c r="A47" s="726">
        <f>Calc!A26</f>
        <v/>
      </c>
      <c r="B47" s="726">
        <f>Calc!O26</f>
        <v/>
      </c>
      <c r="C47" s="710">
        <f>Calc!P26</f>
        <v/>
      </c>
      <c r="D47" s="726">
        <f>Calc!Q26</f>
        <v/>
      </c>
      <c r="E47" s="726">
        <f>Calc!R26</f>
        <v/>
      </c>
      <c r="F47" s="726">
        <f>Calc!S26</f>
        <v/>
      </c>
    </row>
    <row r="48">
      <c r="A48" s="726">
        <f>Calc!A27</f>
        <v/>
      </c>
      <c r="B48" s="726">
        <f>Calc!O27</f>
        <v/>
      </c>
      <c r="C48" s="710">
        <f>Calc!P27</f>
        <v/>
      </c>
      <c r="D48" s="726">
        <f>Calc!Q27</f>
        <v/>
      </c>
      <c r="E48" s="726">
        <f>Calc!R27</f>
        <v/>
      </c>
      <c r="F48" s="726">
        <f>Calc!S27</f>
        <v/>
      </c>
    </row>
    <row r="49">
      <c r="A49" s="726">
        <f>Calc!A28</f>
        <v/>
      </c>
      <c r="B49" s="726">
        <f>Calc!O28</f>
        <v/>
      </c>
      <c r="C49" s="710">
        <f>Calc!P28</f>
        <v/>
      </c>
      <c r="D49" s="726">
        <f>Calc!Q28</f>
        <v/>
      </c>
      <c r="E49" s="726">
        <f>Calc!R28</f>
        <v/>
      </c>
      <c r="F49" s="726">
        <f>Calc!S28</f>
        <v/>
      </c>
    </row>
    <row r="50">
      <c r="A50" s="726">
        <f>Calc!A29</f>
        <v/>
      </c>
      <c r="B50" s="726">
        <f>Calc!O29</f>
        <v/>
      </c>
      <c r="C50" s="710">
        <f>Calc!P29</f>
        <v/>
      </c>
      <c r="D50" s="726">
        <f>Calc!Q29</f>
        <v/>
      </c>
      <c r="E50" s="726">
        <f>Calc!R29</f>
        <v/>
      </c>
      <c r="F50" s="726">
        <f>Calc!S29</f>
        <v/>
      </c>
    </row>
    <row r="51">
      <c r="A51" s="726">
        <f>Calc!A30</f>
        <v/>
      </c>
      <c r="B51" s="726">
        <f>Calc!O30</f>
        <v/>
      </c>
      <c r="C51" s="710">
        <f>Calc!P30</f>
        <v/>
      </c>
      <c r="D51" s="726">
        <f>Calc!Q30</f>
        <v/>
      </c>
      <c r="E51" s="726">
        <f>Calc!R30</f>
        <v/>
      </c>
      <c r="F51" s="726">
        <f>Calc!S30</f>
        <v/>
      </c>
    </row>
    <row r="52">
      <c r="A52" s="726">
        <f>Calc!A31</f>
        <v/>
      </c>
      <c r="B52" s="726">
        <f>Calc!O31</f>
        <v/>
      </c>
      <c r="C52" s="710">
        <f>Calc!P31</f>
        <v/>
      </c>
      <c r="D52" s="726">
        <f>Calc!Q31</f>
        <v/>
      </c>
      <c r="E52" s="726">
        <f>Calc!R31</f>
        <v/>
      </c>
      <c r="F52" s="726">
        <f>Calc!S31</f>
        <v/>
      </c>
    </row>
    <row r="53">
      <c r="A53" s="726">
        <f>Calc!A32</f>
        <v/>
      </c>
      <c r="B53" s="726">
        <f>Calc!O32</f>
        <v/>
      </c>
      <c r="C53" s="710">
        <f>Calc!P32</f>
        <v/>
      </c>
      <c r="D53" s="726">
        <f>Calc!Q32</f>
        <v/>
      </c>
      <c r="E53" s="726">
        <f>Calc!R32</f>
        <v/>
      </c>
      <c r="F53" s="726">
        <f>Calc!S32</f>
        <v/>
      </c>
    </row>
    <row r="54">
      <c r="A54" s="726">
        <f>Calc!A33</f>
        <v/>
      </c>
      <c r="B54" s="726">
        <f>Calc!O33</f>
        <v/>
      </c>
      <c r="C54" s="710">
        <f>Calc!P33</f>
        <v/>
      </c>
      <c r="D54" s="726">
        <f>Calc!Q33</f>
        <v/>
      </c>
      <c r="E54" s="726">
        <f>Calc!R33</f>
        <v/>
      </c>
      <c r="F54" s="726">
        <f>Calc!S33</f>
        <v/>
      </c>
    </row>
    <row r="55">
      <c r="A55" s="726">
        <f>Calc!A34</f>
        <v/>
      </c>
      <c r="B55" s="726">
        <f>Calc!O34</f>
        <v/>
      </c>
      <c r="C55" s="710">
        <f>Calc!P34</f>
        <v/>
      </c>
      <c r="D55" s="726">
        <f>Calc!Q34</f>
        <v/>
      </c>
      <c r="E55" s="726">
        <f>Calc!R34</f>
        <v/>
      </c>
      <c r="F55" s="726">
        <f>Calc!S34</f>
        <v/>
      </c>
    </row>
    <row r="56">
      <c r="A56" s="726" t="n"/>
      <c r="B56" s="116">
        <f>B43/$B$54</f>
        <v/>
      </c>
      <c r="D56" s="726" t="n"/>
    </row>
    <row r="57">
      <c r="A57" s="726" t="n"/>
      <c r="B57" s="116">
        <f>B44/$B$54</f>
        <v/>
      </c>
      <c r="D57" s="726" t="n"/>
    </row>
    <row r="58">
      <c r="A58" s="726" t="n"/>
      <c r="B58" s="116">
        <f>B45/$B$54</f>
        <v/>
      </c>
      <c r="D58" s="726" t="n"/>
    </row>
    <row r="59">
      <c r="A59" s="726" t="n"/>
      <c r="B59" s="116">
        <f>B46/$B$54</f>
        <v/>
      </c>
      <c r="D59" s="726" t="n"/>
    </row>
    <row r="60">
      <c r="A60" s="726" t="n"/>
      <c r="B60" s="116">
        <f>B47/$B$54</f>
        <v/>
      </c>
      <c r="D60" s="726" t="n"/>
    </row>
    <row r="61">
      <c r="A61" s="726" t="n"/>
      <c r="B61" s="116">
        <f>SUM(B56:B60)</f>
        <v/>
      </c>
      <c r="D61" s="726" t="n"/>
    </row>
    <row r="62">
      <c r="A62" s="726" t="n"/>
      <c r="B62" s="726" t="n"/>
      <c r="D62" s="726" t="n"/>
    </row>
    <row r="63">
      <c r="A63" s="726" t="n"/>
      <c r="B63" s="726" t="n"/>
      <c r="D63" s="726" t="n"/>
    </row>
    <row r="64">
      <c r="A64" s="726" t="n"/>
      <c r="B64" s="726" t="n"/>
      <c r="D64" s="726" t="n"/>
    </row>
    <row r="65" ht="23.25" customHeight="1">
      <c r="A65" s="59" t="inlineStr">
        <is>
          <t>Page 14</t>
        </is>
      </c>
      <c r="B65" s="726" t="n"/>
      <c r="D65" s="726" t="n"/>
    </row>
    <row r="66" ht="13.5" customHeight="1" thickBot="1">
      <c r="A66" s="726" t="n"/>
      <c r="B66" s="726" t="n"/>
      <c r="D66" s="726" t="n"/>
    </row>
    <row r="67" ht="30.75" customHeight="1" thickBot="1">
      <c r="A67" s="128" t="inlineStr">
        <is>
          <t xml:space="preserve">Proposed Subscription Rates </t>
        </is>
      </c>
      <c r="B67" s="127" t="inlineStr">
        <is>
          <t>Target No. Year 1</t>
        </is>
      </c>
      <c r="C67" s="127" t="inlineStr">
        <is>
          <t>Price</t>
        </is>
      </c>
      <c r="D67" s="127" t="inlineStr">
        <is>
          <t>Total Revenue</t>
        </is>
      </c>
    </row>
    <row r="68" ht="15" customHeight="1" thickBot="1">
      <c r="A68" s="117" t="n"/>
      <c r="B68" s="118" t="n"/>
      <c r="C68" s="119" t="inlineStr">
        <is>
          <t>$</t>
        </is>
      </c>
      <c r="D68" s="119" t="inlineStr">
        <is>
          <t>$</t>
        </is>
      </c>
    </row>
    <row r="69" ht="15" customHeight="1" thickBot="1">
      <c r="A69" s="120">
        <f>Calc!A5</f>
        <v/>
      </c>
      <c r="B69" s="122">
        <f>Calc!O5</f>
        <v/>
      </c>
      <c r="C69" s="727">
        <f>Calc!B5</f>
        <v/>
      </c>
      <c r="D69" s="122">
        <f>Calc!O22</f>
        <v/>
      </c>
      <c r="F69" s="707">
        <f>B69*C69</f>
        <v/>
      </c>
    </row>
    <row r="70" ht="15" customHeight="1" thickBot="1">
      <c r="A70" s="120">
        <f>Calc!A6</f>
        <v/>
      </c>
      <c r="B70" s="122">
        <f>Calc!O6</f>
        <v/>
      </c>
      <c r="C70" s="727">
        <f>Calc!B6</f>
        <v/>
      </c>
      <c r="D70" s="122">
        <f>Calc!O23</f>
        <v/>
      </c>
      <c r="F70" s="707">
        <f>B70*C70</f>
        <v/>
      </c>
    </row>
    <row r="71" ht="15" customHeight="1" thickBot="1">
      <c r="A71" s="120">
        <f>Calc!A7</f>
        <v/>
      </c>
      <c r="B71" s="122">
        <f>Calc!O7</f>
        <v/>
      </c>
      <c r="C71" s="727">
        <f>Calc!B7</f>
        <v/>
      </c>
      <c r="D71" s="122">
        <f>Calc!O24</f>
        <v/>
      </c>
      <c r="F71" s="707">
        <f>B71*C71</f>
        <v/>
      </c>
    </row>
    <row r="72" ht="15" customHeight="1" thickBot="1">
      <c r="A72" s="120">
        <f>Calc!A8</f>
        <v/>
      </c>
      <c r="B72" s="122">
        <f>Calc!O8</f>
        <v/>
      </c>
      <c r="C72" s="727">
        <f>Calc!B8</f>
        <v/>
      </c>
      <c r="D72" s="122">
        <f>Calc!O25</f>
        <v/>
      </c>
      <c r="F72" s="707">
        <f>B72*C72</f>
        <v/>
      </c>
    </row>
    <row r="73" ht="15" customHeight="1" thickBot="1">
      <c r="A73" s="120">
        <f>Calc!A9</f>
        <v/>
      </c>
      <c r="B73" s="122">
        <f>Calc!O9</f>
        <v/>
      </c>
      <c r="C73" s="727">
        <f>Calc!B9</f>
        <v/>
      </c>
      <c r="D73" s="122">
        <f>Calc!O26</f>
        <v/>
      </c>
      <c r="F73" s="707">
        <f>B73*C73</f>
        <v/>
      </c>
    </row>
    <row r="74" ht="15" customHeight="1" thickBot="1">
      <c r="A74" s="120">
        <f>Calc!A12</f>
        <v/>
      </c>
      <c r="B74" s="122">
        <f>Calc!O12</f>
        <v/>
      </c>
      <c r="C74" s="727">
        <f>Calc!B12</f>
        <v/>
      </c>
      <c r="D74" s="122">
        <f>Calc!O29</f>
        <v/>
      </c>
      <c r="F74" s="707">
        <f>B74*C74</f>
        <v/>
      </c>
    </row>
    <row r="75" ht="15" customHeight="1" thickBot="1">
      <c r="A75" s="120">
        <f>Calc!A13</f>
        <v/>
      </c>
      <c r="B75" s="122">
        <f>Calc!O13</f>
        <v/>
      </c>
      <c r="C75" s="727">
        <f>Calc!B13</f>
        <v/>
      </c>
      <c r="D75" s="122">
        <f>Calc!O30</f>
        <v/>
      </c>
      <c r="F75" s="707">
        <f>B75*C75</f>
        <v/>
      </c>
    </row>
    <row r="76" ht="15" customHeight="1" thickBot="1">
      <c r="A76" s="120">
        <f>Calc!A14</f>
        <v/>
      </c>
      <c r="B76" s="122">
        <f>Calc!O14</f>
        <v/>
      </c>
      <c r="C76" s="727">
        <f>Calc!B14</f>
        <v/>
      </c>
      <c r="D76" s="122">
        <f>Calc!O31</f>
        <v/>
      </c>
      <c r="F76" s="707">
        <f>B76*C76</f>
        <v/>
      </c>
    </row>
    <row r="77" ht="15" customHeight="1" thickBot="1">
      <c r="A77" s="120">
        <f>Calc!A15</f>
        <v/>
      </c>
      <c r="B77" s="122">
        <f>Calc!O15</f>
        <v/>
      </c>
      <c r="C77" s="727">
        <f>Calc!B15</f>
        <v/>
      </c>
      <c r="D77" s="122">
        <f>Calc!O32</f>
        <v/>
      </c>
      <c r="F77" s="707">
        <f>B77*C77</f>
        <v/>
      </c>
    </row>
    <row r="78" ht="15" customHeight="1" thickBot="1">
      <c r="A78" s="120">
        <f>Calc!A16</f>
        <v/>
      </c>
      <c r="B78" s="122">
        <f>Calc!O16</f>
        <v/>
      </c>
      <c r="C78" s="727">
        <f>Calc!B16</f>
        <v/>
      </c>
      <c r="D78" s="122">
        <f>Calc!O33</f>
        <v/>
      </c>
      <c r="F78" s="707">
        <f>B78*C78</f>
        <v/>
      </c>
    </row>
    <row r="79" ht="15" customHeight="1" thickBot="1">
      <c r="A79" s="120">
        <f>Calc!A17</f>
        <v/>
      </c>
      <c r="B79" s="122">
        <f>Calc!O17</f>
        <v/>
      </c>
      <c r="C79" s="727">
        <f>Calc!B17</f>
        <v/>
      </c>
      <c r="D79" s="122">
        <f>Calc!O34</f>
        <v/>
      </c>
      <c r="F79" s="707">
        <f>B79*C79</f>
        <v/>
      </c>
    </row>
    <row r="80" ht="15" customHeight="1" thickBot="1">
      <c r="A80" s="120" t="n"/>
      <c r="B80" s="121" t="n"/>
      <c r="C80" s="727" t="n"/>
      <c r="D80" s="122" t="n"/>
      <c r="F80" s="707" t="n"/>
    </row>
    <row r="81" ht="15.75" customHeight="1" thickBot="1">
      <c r="A81" s="123" t="inlineStr">
        <is>
          <t>Total</t>
        </is>
      </c>
      <c r="B81" s="124" t="n"/>
      <c r="C81" s="125" t="n"/>
      <c r="D81" s="126">
        <f>SUM(D69:D79)</f>
        <v/>
      </c>
      <c r="F81" s="707">
        <f>SUM(F69:F80)</f>
        <v/>
      </c>
    </row>
    <row r="82">
      <c r="A82" s="726" t="n"/>
      <c r="B82" s="726" t="n"/>
      <c r="D82" s="726" t="n"/>
    </row>
    <row r="83">
      <c r="A83" s="726" t="n"/>
      <c r="B83" s="726" t="n"/>
      <c r="D83" s="726" t="n"/>
    </row>
    <row r="84">
      <c r="A84" s="726" t="n"/>
      <c r="B84" s="726" t="n"/>
      <c r="D84" s="726" t="n"/>
    </row>
    <row r="85">
      <c r="A85" s="726" t="n"/>
      <c r="B85" s="726" t="n"/>
      <c r="D85" s="726" t="n"/>
    </row>
    <row r="86">
      <c r="A86" s="726" t="n"/>
      <c r="B86" s="726" t="n"/>
      <c r="D86" s="726" t="n"/>
    </row>
    <row r="87">
      <c r="A87" s="726" t="n"/>
      <c r="B87" s="726" t="n"/>
      <c r="D87" s="726" t="n"/>
    </row>
    <row r="88" ht="23.25" customHeight="1">
      <c r="A88" s="59" t="inlineStr">
        <is>
          <t>Page 38</t>
        </is>
      </c>
    </row>
    <row r="89">
      <c r="B89" t="n">
        <v>1</v>
      </c>
      <c r="C89" t="n">
        <v>2</v>
      </c>
      <c r="D89" t="n">
        <v>3</v>
      </c>
      <c r="E89" t="n">
        <v>4</v>
      </c>
      <c r="F89" t="n">
        <v>5</v>
      </c>
      <c r="G89" t="n">
        <v>6</v>
      </c>
      <c r="H89" t="n">
        <v>7</v>
      </c>
      <c r="I89" t="n">
        <v>8</v>
      </c>
      <c r="J89" t="n">
        <v>9</v>
      </c>
      <c r="K89" t="n">
        <v>10</v>
      </c>
      <c r="L89" t="n">
        <v>11</v>
      </c>
      <c r="M89" t="n">
        <v>12</v>
      </c>
    </row>
    <row r="90">
      <c r="A90" s="726">
        <f>Calc!A22</f>
        <v/>
      </c>
      <c r="B90" s="726">
        <f>Calc!C22</f>
        <v/>
      </c>
      <c r="C90" s="726">
        <f>Calc!D22</f>
        <v/>
      </c>
      <c r="D90" s="726">
        <f>Calc!E22</f>
        <v/>
      </c>
      <c r="E90" s="726">
        <f>Calc!F22</f>
        <v/>
      </c>
      <c r="F90" s="726">
        <f>Calc!G22</f>
        <v/>
      </c>
      <c r="G90" s="726">
        <f>Calc!H22</f>
        <v/>
      </c>
      <c r="H90" s="726">
        <f>Calc!I22</f>
        <v/>
      </c>
      <c r="I90" s="726">
        <f>Calc!J22</f>
        <v/>
      </c>
      <c r="J90" s="726">
        <f>Calc!K22</f>
        <v/>
      </c>
      <c r="K90" s="726">
        <f>Calc!L22</f>
        <v/>
      </c>
      <c r="L90" s="726">
        <f>Calc!M22</f>
        <v/>
      </c>
      <c r="M90" s="726">
        <f>Calc!N22</f>
        <v/>
      </c>
    </row>
    <row r="91">
      <c r="A91" s="726">
        <f>Calc!A23</f>
        <v/>
      </c>
      <c r="B91" s="726">
        <f>Calc!C23</f>
        <v/>
      </c>
      <c r="C91" s="726">
        <f>Calc!D23</f>
        <v/>
      </c>
      <c r="D91" s="726">
        <f>Calc!E23</f>
        <v/>
      </c>
      <c r="E91" s="726">
        <f>Calc!F23</f>
        <v/>
      </c>
      <c r="F91" s="726">
        <f>Calc!G23</f>
        <v/>
      </c>
      <c r="G91" s="726">
        <f>Calc!H23</f>
        <v/>
      </c>
      <c r="H91" s="726">
        <f>Calc!I23</f>
        <v/>
      </c>
      <c r="I91" s="726">
        <f>Calc!J23</f>
        <v/>
      </c>
      <c r="J91" s="726">
        <f>Calc!K23</f>
        <v/>
      </c>
      <c r="K91" s="726">
        <f>Calc!L23</f>
        <v/>
      </c>
      <c r="L91" s="726">
        <f>Calc!M23</f>
        <v/>
      </c>
      <c r="M91" s="726">
        <f>Calc!N23</f>
        <v/>
      </c>
    </row>
    <row r="92">
      <c r="A92" s="726">
        <f>Calc!A24</f>
        <v/>
      </c>
      <c r="B92" s="726">
        <f>Calc!C24</f>
        <v/>
      </c>
      <c r="C92" s="726">
        <f>Calc!D24</f>
        <v/>
      </c>
      <c r="D92" s="726">
        <f>Calc!E24</f>
        <v/>
      </c>
      <c r="E92" s="726">
        <f>Calc!F24</f>
        <v/>
      </c>
      <c r="F92" s="726">
        <f>Calc!G24</f>
        <v/>
      </c>
      <c r="G92" s="726">
        <f>Calc!H24</f>
        <v/>
      </c>
      <c r="H92" s="726">
        <f>Calc!I24</f>
        <v/>
      </c>
      <c r="I92" s="726">
        <f>Calc!J24</f>
        <v/>
      </c>
      <c r="J92" s="726">
        <f>Calc!K24</f>
        <v/>
      </c>
      <c r="K92" s="726">
        <f>Calc!L24</f>
        <v/>
      </c>
      <c r="L92" s="726">
        <f>Calc!M24</f>
        <v/>
      </c>
      <c r="M92" s="726">
        <f>Calc!N24</f>
        <v/>
      </c>
    </row>
    <row r="93">
      <c r="A93" s="726">
        <f>Calc!A25</f>
        <v/>
      </c>
      <c r="B93" s="726">
        <f>Calc!C25</f>
        <v/>
      </c>
      <c r="C93" s="726">
        <f>Calc!D25</f>
        <v/>
      </c>
      <c r="D93" s="726">
        <f>Calc!E25</f>
        <v/>
      </c>
      <c r="E93" s="726">
        <f>Calc!F25</f>
        <v/>
      </c>
      <c r="F93" s="726">
        <f>Calc!G25</f>
        <v/>
      </c>
      <c r="G93" s="726">
        <f>Calc!H25</f>
        <v/>
      </c>
      <c r="H93" s="726">
        <f>Calc!I25</f>
        <v/>
      </c>
      <c r="I93" s="726">
        <f>Calc!J25</f>
        <v/>
      </c>
      <c r="J93" s="726">
        <f>Calc!K25</f>
        <v/>
      </c>
      <c r="K93" s="726">
        <f>Calc!L25</f>
        <v/>
      </c>
      <c r="L93" s="726">
        <f>Calc!M25</f>
        <v/>
      </c>
      <c r="M93" s="726">
        <f>Calc!N25</f>
        <v/>
      </c>
    </row>
    <row r="94">
      <c r="A94" s="726">
        <f>Calc!A26</f>
        <v/>
      </c>
      <c r="B94" s="726">
        <f>Calc!C26</f>
        <v/>
      </c>
      <c r="C94" s="726">
        <f>Calc!D26</f>
        <v/>
      </c>
      <c r="D94" s="726">
        <f>Calc!E26</f>
        <v/>
      </c>
      <c r="E94" s="726">
        <f>Calc!F26</f>
        <v/>
      </c>
      <c r="F94" s="726">
        <f>Calc!G26</f>
        <v/>
      </c>
      <c r="G94" s="726">
        <f>Calc!H26</f>
        <v/>
      </c>
      <c r="H94" s="726">
        <f>Calc!I26</f>
        <v/>
      </c>
      <c r="I94" s="726">
        <f>Calc!J26</f>
        <v/>
      </c>
      <c r="J94" s="726">
        <f>Calc!K26</f>
        <v/>
      </c>
      <c r="K94" s="726">
        <f>Calc!L26</f>
        <v/>
      </c>
      <c r="L94" s="726">
        <f>Calc!M26</f>
        <v/>
      </c>
      <c r="M94" s="726">
        <f>Calc!N26</f>
        <v/>
      </c>
    </row>
    <row r="95">
      <c r="A95" s="726">
        <f>Calc!A29</f>
        <v/>
      </c>
      <c r="B95" s="726">
        <f>Calc!C29</f>
        <v/>
      </c>
      <c r="C95" s="726">
        <f>Calc!D29</f>
        <v/>
      </c>
      <c r="D95" s="726">
        <f>Calc!E29</f>
        <v/>
      </c>
      <c r="E95" s="726">
        <f>Calc!F29</f>
        <v/>
      </c>
      <c r="F95" s="726">
        <f>Calc!G29</f>
        <v/>
      </c>
      <c r="G95" s="726">
        <f>Calc!H29</f>
        <v/>
      </c>
      <c r="H95" s="726">
        <f>Calc!I29</f>
        <v/>
      </c>
      <c r="I95" s="726">
        <f>Calc!J29</f>
        <v/>
      </c>
      <c r="J95" s="726">
        <f>Calc!K29</f>
        <v/>
      </c>
      <c r="K95" s="726">
        <f>Calc!L29</f>
        <v/>
      </c>
      <c r="L95" s="726">
        <f>Calc!M29</f>
        <v/>
      </c>
      <c r="M95" s="726">
        <f>Calc!N29</f>
        <v/>
      </c>
    </row>
    <row r="96">
      <c r="A96" s="726">
        <f>Calc!A30</f>
        <v/>
      </c>
      <c r="B96" s="726">
        <f>Calc!C30</f>
        <v/>
      </c>
      <c r="C96" s="726">
        <f>Calc!D30</f>
        <v/>
      </c>
      <c r="D96" s="726">
        <f>Calc!E30</f>
        <v/>
      </c>
      <c r="E96" s="726">
        <f>Calc!F30</f>
        <v/>
      </c>
      <c r="F96" s="726">
        <f>Calc!G30</f>
        <v/>
      </c>
      <c r="G96" s="726">
        <f>Calc!H30</f>
        <v/>
      </c>
      <c r="H96" s="726">
        <f>Calc!I30</f>
        <v/>
      </c>
      <c r="I96" s="726">
        <f>Calc!J30</f>
        <v/>
      </c>
      <c r="J96" s="726">
        <f>Calc!K30</f>
        <v/>
      </c>
      <c r="K96" s="726">
        <f>Calc!L30</f>
        <v/>
      </c>
      <c r="L96" s="726">
        <f>Calc!M30</f>
        <v/>
      </c>
      <c r="M96" s="726">
        <f>Calc!N30</f>
        <v/>
      </c>
    </row>
    <row r="97">
      <c r="A97" s="726">
        <f>Calc!A31</f>
        <v/>
      </c>
      <c r="B97" s="726">
        <f>Calc!C31</f>
        <v/>
      </c>
      <c r="C97" s="726">
        <f>Calc!D31</f>
        <v/>
      </c>
      <c r="D97" s="726">
        <f>Calc!E31</f>
        <v/>
      </c>
      <c r="E97" s="726">
        <f>Calc!F31</f>
        <v/>
      </c>
      <c r="F97" s="726">
        <f>Calc!G31</f>
        <v/>
      </c>
      <c r="G97" s="726">
        <f>Calc!H31</f>
        <v/>
      </c>
      <c r="H97" s="726">
        <f>Calc!I31</f>
        <v/>
      </c>
      <c r="I97" s="726">
        <f>Calc!J31</f>
        <v/>
      </c>
      <c r="J97" s="726">
        <f>Calc!K31</f>
        <v/>
      </c>
      <c r="K97" s="726">
        <f>Calc!L31</f>
        <v/>
      </c>
      <c r="L97" s="726">
        <f>Calc!M31</f>
        <v/>
      </c>
      <c r="M97" s="726">
        <f>Calc!N31</f>
        <v/>
      </c>
    </row>
    <row r="98">
      <c r="A98" s="726">
        <f>Calc!A32</f>
        <v/>
      </c>
      <c r="B98" s="726">
        <f>Calc!C32</f>
        <v/>
      </c>
      <c r="C98" s="726">
        <f>Calc!D32</f>
        <v/>
      </c>
      <c r="D98" s="726">
        <f>Calc!E32</f>
        <v/>
      </c>
      <c r="E98" s="726">
        <f>Calc!F32</f>
        <v/>
      </c>
      <c r="F98" s="726">
        <f>Calc!G32</f>
        <v/>
      </c>
      <c r="G98" s="726">
        <f>Calc!H32</f>
        <v/>
      </c>
      <c r="H98" s="726">
        <f>Calc!I32</f>
        <v/>
      </c>
      <c r="I98" s="726">
        <f>Calc!J32</f>
        <v/>
      </c>
      <c r="J98" s="726">
        <f>Calc!K32</f>
        <v/>
      </c>
      <c r="K98" s="726">
        <f>Calc!L32</f>
        <v/>
      </c>
      <c r="L98" s="726">
        <f>Calc!M32</f>
        <v/>
      </c>
      <c r="M98" s="726">
        <f>Calc!N32</f>
        <v/>
      </c>
    </row>
    <row r="99">
      <c r="A99" s="726">
        <f>Calc!A33</f>
        <v/>
      </c>
      <c r="B99" s="726">
        <f>Calc!C33</f>
        <v/>
      </c>
      <c r="C99" s="726">
        <f>Calc!D33</f>
        <v/>
      </c>
      <c r="D99" s="726">
        <f>Calc!E33</f>
        <v/>
      </c>
      <c r="E99" s="726">
        <f>Calc!F33</f>
        <v/>
      </c>
      <c r="F99" s="726">
        <f>Calc!G33</f>
        <v/>
      </c>
      <c r="G99" s="726">
        <f>Calc!H33</f>
        <v/>
      </c>
      <c r="H99" s="726">
        <f>Calc!I33</f>
        <v/>
      </c>
      <c r="I99" s="726">
        <f>Calc!J33</f>
        <v/>
      </c>
      <c r="J99" s="726">
        <f>Calc!K33</f>
        <v/>
      </c>
      <c r="K99" s="726">
        <f>Calc!L33</f>
        <v/>
      </c>
      <c r="L99" s="726">
        <f>Calc!M33</f>
        <v/>
      </c>
      <c r="M99" s="726">
        <f>Calc!N33</f>
        <v/>
      </c>
    </row>
    <row r="100">
      <c r="A100" s="726">
        <f>Calc!A34</f>
        <v/>
      </c>
      <c r="B100" s="726">
        <f>Calc!C34</f>
        <v/>
      </c>
      <c r="C100" s="726">
        <f>Calc!D34</f>
        <v/>
      </c>
      <c r="D100" s="726">
        <f>Calc!E34</f>
        <v/>
      </c>
      <c r="E100" s="726">
        <f>Calc!F34</f>
        <v/>
      </c>
      <c r="F100" s="726">
        <f>Calc!G34</f>
        <v/>
      </c>
      <c r="G100" s="726">
        <f>Calc!H34</f>
        <v/>
      </c>
      <c r="H100" s="726">
        <f>Calc!I34</f>
        <v/>
      </c>
      <c r="I100" s="726">
        <f>Calc!J34</f>
        <v/>
      </c>
      <c r="J100" s="726">
        <f>Calc!K34</f>
        <v/>
      </c>
      <c r="K100" s="726">
        <f>Calc!L34</f>
        <v/>
      </c>
      <c r="L100" s="726">
        <f>Calc!M34</f>
        <v/>
      </c>
      <c r="M100" s="726">
        <f>Calc!N34</f>
        <v/>
      </c>
    </row>
    <row r="101">
      <c r="A101" s="726">
        <f>Calc!A35</f>
        <v/>
      </c>
      <c r="B101" s="726">
        <f>Calc!C35</f>
        <v/>
      </c>
      <c r="C101" s="726">
        <f>Calc!D35</f>
        <v/>
      </c>
      <c r="D101" s="726">
        <f>Calc!E35</f>
        <v/>
      </c>
      <c r="E101" s="726">
        <f>Calc!F35</f>
        <v/>
      </c>
      <c r="F101" s="726">
        <f>Calc!G35</f>
        <v/>
      </c>
      <c r="G101" s="726">
        <f>Calc!H35</f>
        <v/>
      </c>
      <c r="H101" s="726">
        <f>Calc!I35</f>
        <v/>
      </c>
      <c r="I101" s="726">
        <f>Calc!J35</f>
        <v/>
      </c>
      <c r="J101" s="726">
        <f>Calc!K35</f>
        <v/>
      </c>
      <c r="K101" s="726">
        <f>Calc!L35</f>
        <v/>
      </c>
      <c r="L101" s="726">
        <f>Calc!M35</f>
        <v/>
      </c>
      <c r="M101" s="726">
        <f>Calc!N35</f>
        <v/>
      </c>
    </row>
    <row r="127" ht="23.25" customHeight="1">
      <c r="A127" s="59" t="inlineStr">
        <is>
          <t>Page 39</t>
        </is>
      </c>
    </row>
    <row r="131" ht="13.5" customHeight="1" thickBot="1"/>
    <row r="132" ht="13.5" customHeight="1" thickBot="1">
      <c r="A132" s="728" t="inlineStr">
        <is>
          <t>Sales Forecast</t>
        </is>
      </c>
      <c r="B132" s="729" t="n"/>
      <c r="C132" s="730" t="n"/>
      <c r="D132" s="729" t="n"/>
      <c r="E132" s="328" t="n"/>
      <c r="F132" s="329" t="n"/>
    </row>
    <row r="133" ht="13.5" customHeight="1" thickBot="1">
      <c r="A133" s="731" t="n"/>
      <c r="B133" s="339" t="inlineStr">
        <is>
          <t>Year 1</t>
        </is>
      </c>
      <c r="C133" s="339" t="inlineStr">
        <is>
          <t>Year 2</t>
        </is>
      </c>
      <c r="D133" s="339" t="inlineStr">
        <is>
          <t>Year 3</t>
        </is>
      </c>
      <c r="E133" s="339" t="inlineStr">
        <is>
          <t>Year 4</t>
        </is>
      </c>
      <c r="F133" s="339" t="inlineStr">
        <is>
          <t>Year 5</t>
        </is>
      </c>
    </row>
    <row r="134">
      <c r="A134" s="732">
        <f>Calc!A22</f>
        <v/>
      </c>
      <c r="B134" s="733">
        <f>Calc!O22</f>
        <v/>
      </c>
      <c r="C134" s="733">
        <f>Calc!P22</f>
        <v/>
      </c>
      <c r="D134" s="733">
        <f>Calc!Q22</f>
        <v/>
      </c>
      <c r="E134" s="733">
        <f>Calc!R22</f>
        <v/>
      </c>
      <c r="F134" s="734">
        <f>Calc!S22</f>
        <v/>
      </c>
    </row>
    <row r="135">
      <c r="A135" s="735">
        <f>Calc!A23</f>
        <v/>
      </c>
      <c r="B135" s="736">
        <f>Calc!O23</f>
        <v/>
      </c>
      <c r="C135" s="736">
        <f>Calc!P23</f>
        <v/>
      </c>
      <c r="D135" s="736">
        <f>Calc!Q23</f>
        <v/>
      </c>
      <c r="E135" s="736">
        <f>Calc!R23</f>
        <v/>
      </c>
      <c r="F135" s="737">
        <f>Calc!S23</f>
        <v/>
      </c>
    </row>
    <row r="136">
      <c r="A136" s="735">
        <f>Calc!A24</f>
        <v/>
      </c>
      <c r="B136" s="736">
        <f>Calc!O24</f>
        <v/>
      </c>
      <c r="C136" s="736">
        <f>Calc!P24</f>
        <v/>
      </c>
      <c r="D136" s="736">
        <f>Calc!Q24</f>
        <v/>
      </c>
      <c r="E136" s="736">
        <f>Calc!R24</f>
        <v/>
      </c>
      <c r="F136" s="737">
        <f>Calc!S24</f>
        <v/>
      </c>
    </row>
    <row r="137">
      <c r="A137" s="735">
        <f>Calc!A25</f>
        <v/>
      </c>
      <c r="B137" s="736">
        <f>Calc!O25</f>
        <v/>
      </c>
      <c r="C137" s="736">
        <f>Calc!P25</f>
        <v/>
      </c>
      <c r="D137" s="736">
        <f>Calc!Q25</f>
        <v/>
      </c>
      <c r="E137" s="736">
        <f>Calc!R25</f>
        <v/>
      </c>
      <c r="F137" s="737">
        <f>Calc!S25</f>
        <v/>
      </c>
    </row>
    <row r="138">
      <c r="A138" s="735">
        <f>Calc!A26</f>
        <v/>
      </c>
      <c r="B138" s="736">
        <f>Calc!O26</f>
        <v/>
      </c>
      <c r="C138" s="736">
        <f>Calc!P26</f>
        <v/>
      </c>
      <c r="D138" s="736">
        <f>Calc!Q26</f>
        <v/>
      </c>
      <c r="E138" s="736">
        <f>Calc!R26</f>
        <v/>
      </c>
      <c r="F138" s="737">
        <f>Calc!S26</f>
        <v/>
      </c>
    </row>
    <row r="139">
      <c r="A139" s="735">
        <f>Calc!A27</f>
        <v/>
      </c>
      <c r="B139" s="736">
        <f>Calc!O27</f>
        <v/>
      </c>
      <c r="C139" s="736">
        <f>Calc!P27</f>
        <v/>
      </c>
      <c r="D139" s="736">
        <f>Calc!Q27</f>
        <v/>
      </c>
      <c r="E139" s="736">
        <f>Calc!R27</f>
        <v/>
      </c>
      <c r="F139" s="737">
        <f>Calc!S27</f>
        <v/>
      </c>
    </row>
    <row r="140">
      <c r="A140" s="735">
        <f>Calc!A28</f>
        <v/>
      </c>
      <c r="B140" s="736">
        <f>Calc!O28</f>
        <v/>
      </c>
      <c r="C140" s="736">
        <f>Calc!P28</f>
        <v/>
      </c>
      <c r="D140" s="736">
        <f>Calc!Q28</f>
        <v/>
      </c>
      <c r="E140" s="736">
        <f>Calc!R28</f>
        <v/>
      </c>
      <c r="F140" s="737">
        <f>Calc!S28</f>
        <v/>
      </c>
    </row>
    <row r="141">
      <c r="A141" s="735">
        <f>Calc!A29</f>
        <v/>
      </c>
      <c r="B141" s="736">
        <f>Calc!O29</f>
        <v/>
      </c>
      <c r="C141" s="736">
        <f>Calc!P29</f>
        <v/>
      </c>
      <c r="D141" s="736">
        <f>Calc!Q29</f>
        <v/>
      </c>
      <c r="E141" s="736">
        <f>Calc!R29</f>
        <v/>
      </c>
      <c r="F141" s="737">
        <f>Calc!S29</f>
        <v/>
      </c>
    </row>
    <row r="142">
      <c r="A142" s="735">
        <f>Calc!A30</f>
        <v/>
      </c>
      <c r="B142" s="736">
        <f>Calc!O30</f>
        <v/>
      </c>
      <c r="C142" s="736">
        <f>Calc!P30</f>
        <v/>
      </c>
      <c r="D142" s="736">
        <f>Calc!Q30</f>
        <v/>
      </c>
      <c r="E142" s="736">
        <f>Calc!R30</f>
        <v/>
      </c>
      <c r="F142" s="737">
        <f>Calc!S30</f>
        <v/>
      </c>
    </row>
    <row r="143">
      <c r="A143" s="735">
        <f>Calc!A31</f>
        <v/>
      </c>
      <c r="B143" s="736">
        <f>Calc!O31</f>
        <v/>
      </c>
      <c r="C143" s="736">
        <f>Calc!P31</f>
        <v/>
      </c>
      <c r="D143" s="736">
        <f>Calc!Q31</f>
        <v/>
      </c>
      <c r="E143" s="736">
        <f>Calc!R31</f>
        <v/>
      </c>
      <c r="F143" s="737">
        <f>Calc!S31</f>
        <v/>
      </c>
    </row>
    <row r="144">
      <c r="A144" s="735">
        <f>Calc!A32</f>
        <v/>
      </c>
      <c r="B144" s="736">
        <f>Calc!O32</f>
        <v/>
      </c>
      <c r="C144" s="736">
        <f>Calc!P32</f>
        <v/>
      </c>
      <c r="D144" s="736">
        <f>Calc!Q32</f>
        <v/>
      </c>
      <c r="E144" s="736">
        <f>Calc!R32</f>
        <v/>
      </c>
      <c r="F144" s="737">
        <f>Calc!S32</f>
        <v/>
      </c>
    </row>
    <row r="145">
      <c r="A145" s="735">
        <f>Calc!A33</f>
        <v/>
      </c>
      <c r="B145" s="736">
        <f>Calc!O33</f>
        <v/>
      </c>
      <c r="C145" s="736">
        <f>Calc!P33</f>
        <v/>
      </c>
      <c r="D145" s="736">
        <f>Calc!Q33</f>
        <v/>
      </c>
      <c r="E145" s="736">
        <f>Calc!R33</f>
        <v/>
      </c>
      <c r="F145" s="737">
        <f>Calc!S33</f>
        <v/>
      </c>
    </row>
    <row r="146">
      <c r="A146" s="735">
        <f>Calc!A34</f>
        <v/>
      </c>
      <c r="B146" s="736">
        <f>Calc!O34</f>
        <v/>
      </c>
      <c r="C146" s="736">
        <f>Calc!P34</f>
        <v/>
      </c>
      <c r="D146" s="736">
        <f>Calc!Q34</f>
        <v/>
      </c>
      <c r="E146" s="736">
        <f>Calc!R34</f>
        <v/>
      </c>
      <c r="F146" s="737">
        <f>Calc!S34</f>
        <v/>
      </c>
    </row>
    <row r="147" ht="13.5" customHeight="1" thickBot="1">
      <c r="A147" s="738">
        <f>Calc!A35</f>
        <v/>
      </c>
      <c r="B147" s="739">
        <f>Calc!O35</f>
        <v/>
      </c>
      <c r="C147" s="739">
        <f>Calc!P35</f>
        <v/>
      </c>
      <c r="D147" s="739">
        <f>Calc!Q35</f>
        <v/>
      </c>
      <c r="E147" s="739">
        <f>Calc!R35</f>
        <v/>
      </c>
      <c r="F147" s="740">
        <f>Calc!S35</f>
        <v/>
      </c>
    </row>
    <row r="148">
      <c r="A148" s="741" t="n"/>
    </row>
    <row r="149">
      <c r="A149" s="741" t="n"/>
    </row>
    <row r="158" ht="23.25" customHeight="1">
      <c r="A158" s="59" t="inlineStr">
        <is>
          <t>Page 40</t>
        </is>
      </c>
    </row>
    <row r="160">
      <c r="A160" s="130">
        <f>Assums!A5</f>
        <v/>
      </c>
      <c r="B160" s="130">
        <f>Assums!B5</f>
        <v/>
      </c>
      <c r="C160" s="130">
        <f>Assums!E5</f>
        <v/>
      </c>
    </row>
    <row r="161">
      <c r="A161" s="131">
        <f>Assums!A6</f>
        <v/>
      </c>
      <c r="B161" s="132">
        <f>Assums!B6</f>
        <v/>
      </c>
      <c r="C161" s="742">
        <f>Assums!E6</f>
        <v/>
      </c>
    </row>
    <row r="162">
      <c r="A162" s="131">
        <f>Assums!A7</f>
        <v/>
      </c>
      <c r="B162" s="132">
        <f>Assums!B7</f>
        <v/>
      </c>
      <c r="C162" s="742">
        <f>Assums!E7</f>
        <v/>
      </c>
    </row>
    <row r="163">
      <c r="A163" s="131">
        <f>Assums!A8</f>
        <v/>
      </c>
      <c r="B163" s="132">
        <f>Assums!B8</f>
        <v/>
      </c>
      <c r="C163" s="742">
        <f>Assums!E8</f>
        <v/>
      </c>
    </row>
    <row r="164">
      <c r="A164" s="131">
        <f>Assums!A9</f>
        <v/>
      </c>
      <c r="B164" s="132">
        <f>Assums!B9</f>
        <v/>
      </c>
      <c r="C164" s="742">
        <f>Assums!E9</f>
        <v/>
      </c>
    </row>
    <row r="165">
      <c r="A165" s="131">
        <f>Assums!A10</f>
        <v/>
      </c>
      <c r="B165" s="132">
        <f>Assums!B10</f>
        <v/>
      </c>
      <c r="C165" s="742">
        <f>Assums!E10</f>
        <v/>
      </c>
    </row>
    <row r="166">
      <c r="A166" s="131">
        <f>Assums!A11</f>
        <v/>
      </c>
      <c r="B166" s="132">
        <f>Assums!B11</f>
        <v/>
      </c>
      <c r="C166" s="742">
        <f>Assums!E11</f>
        <v/>
      </c>
    </row>
    <row r="167">
      <c r="A167" s="131">
        <f>Assums!A12</f>
        <v/>
      </c>
      <c r="B167" s="132">
        <f>Assums!B12</f>
        <v/>
      </c>
      <c r="C167" s="742">
        <f>Assums!E12</f>
        <v/>
      </c>
    </row>
    <row r="168">
      <c r="A168" s="131">
        <f>Assums!A13</f>
        <v/>
      </c>
      <c r="B168" s="132">
        <f>Assums!B13</f>
        <v/>
      </c>
      <c r="C168" s="742">
        <f>Assums!E13</f>
        <v/>
      </c>
    </row>
    <row r="169">
      <c r="A169" s="131">
        <f>Assums!A15</f>
        <v/>
      </c>
      <c r="B169" s="132">
        <f>Assums!B15</f>
        <v/>
      </c>
      <c r="C169" s="742">
        <f>Assums!E15</f>
        <v/>
      </c>
    </row>
    <row r="170">
      <c r="A170" s="131">
        <f>Assums!A16</f>
        <v/>
      </c>
      <c r="B170" s="132">
        <f>Assums!B16</f>
        <v/>
      </c>
      <c r="C170" s="742">
        <f>Assums!E16</f>
        <v/>
      </c>
    </row>
    <row r="171">
      <c r="A171" s="131">
        <f>Assums!A17</f>
        <v/>
      </c>
      <c r="B171" s="132">
        <f>Assums!B17</f>
        <v/>
      </c>
      <c r="C171" s="742">
        <f>Assums!E17</f>
        <v/>
      </c>
    </row>
    <row r="172">
      <c r="A172" s="131">
        <f>Assums!A18</f>
        <v/>
      </c>
      <c r="B172" s="132">
        <f>Assums!B18</f>
        <v/>
      </c>
      <c r="C172" s="742">
        <f>Assums!E18</f>
        <v/>
      </c>
    </row>
    <row r="173">
      <c r="A173" s="134">
        <f>Assums!A19</f>
        <v/>
      </c>
      <c r="B173" s="135" t="n"/>
      <c r="C173" s="743">
        <f>Assums!E19</f>
        <v/>
      </c>
      <c r="D173" s="723" t="n"/>
    </row>
    <row r="174">
      <c r="A174" s="3" t="n"/>
      <c r="B174" s="3" t="n"/>
      <c r="C174" s="711" t="n"/>
    </row>
  </sheetData>
  <mergeCells count="1">
    <mergeCell ref="A16:B16"/>
  </mergeCells>
  <pageMargins left="0.7" right="0.7" top="0.75" bottom="0.75" header="0.3" footer="0.3"/>
  <pageSetup orientation="portrait" paperSize="9"/>
  <headerFooter>
    <oddHeader>&amp;C&amp;F!&amp;A</oddHeader>
    <oddFooter>&amp;CPage 12 of 12&amp;R?2016</oddFooter>
    <evenHeader/>
    <evenFooter/>
    <firstHeader/>
    <firstFooter/>
  </headerFooter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19"/>
  <sheetViews>
    <sheetView workbookViewId="0">
      <selection activeCell="A1" sqref="A1"/>
    </sheetView>
  </sheetViews>
  <sheetFormatPr baseColWidth="8" defaultRowHeight="15"/>
  <cols>
    <col width="32" customWidth="1" min="1" max="1"/>
    <col width="28" customWidth="1" min="2" max="2"/>
    <col width="28" customWidth="1" min="3" max="3"/>
    <col width="28" customWidth="1" min="4" max="4"/>
    <col width="60" customWidth="1" min="5" max="5"/>
  </cols>
  <sheetData>
    <row r="1">
      <c r="A1" t="inlineStr">
        <is>
          <t>Area</t>
        </is>
      </c>
      <c r="B1" t="inlineStr">
        <is>
          <t>Definition used</t>
        </is>
      </c>
      <c r="C1" t="inlineStr">
        <is>
          <t>Active EYR providers (all provision)</t>
        </is>
      </c>
      <c r="D1" t="inlineStr">
        <is>
          <t>Active non domestic settings</t>
        </is>
      </c>
      <c r="E1" t="inlineStr">
        <is>
          <t>Notes</t>
        </is>
      </c>
    </row>
    <row r="2">
      <c r="A2" t="inlineStr">
        <is>
          <t>Nottingham</t>
        </is>
      </c>
      <c r="B2" t="inlineStr">
        <is>
          <t>Local Authority match</t>
        </is>
      </c>
      <c r="C2" t="n">
        <v>189</v>
      </c>
      <c r="D2" t="n">
        <v>99</v>
      </c>
      <c r="E2" t="inlineStr"/>
    </row>
    <row r="3">
      <c r="A3" t="inlineStr">
        <is>
          <t>Derby</t>
        </is>
      </c>
      <c r="B3" t="inlineStr">
        <is>
          <t>Local Authority match</t>
        </is>
      </c>
      <c r="C3" t="n">
        <v>171</v>
      </c>
      <c r="D3" t="n">
        <v>108</v>
      </c>
      <c r="E3" t="inlineStr"/>
    </row>
    <row r="4">
      <c r="A4" t="inlineStr">
        <is>
          <t>Leicester</t>
        </is>
      </c>
      <c r="B4" t="inlineStr">
        <is>
          <t>Local Authority match</t>
        </is>
      </c>
      <c r="C4" t="n">
        <v>160</v>
      </c>
      <c r="D4" t="n">
        <v>131</v>
      </c>
      <c r="E4" t="inlineStr"/>
    </row>
    <row r="5">
      <c r="A5" t="inlineStr">
        <is>
          <t>Sheffield</t>
        </is>
      </c>
      <c r="B5" t="inlineStr">
        <is>
          <t>Local Authority match</t>
        </is>
      </c>
      <c r="C5" t="n">
        <v>340</v>
      </c>
      <c r="D5" t="n">
        <v>213</v>
      </c>
      <c r="E5" t="inlineStr"/>
    </row>
    <row r="6">
      <c r="A6" t="inlineStr">
        <is>
          <t>Chesterfield (Town)</t>
        </is>
      </c>
      <c r="B6" t="inlineStr">
        <is>
          <t>Town match</t>
        </is>
      </c>
      <c r="C6" t="n">
        <v>49</v>
      </c>
      <c r="D6" t="n">
        <v>52</v>
      </c>
      <c r="E6" t="inlineStr">
        <is>
          <t>Chesterfield not present as a Local Authority in this Ofsted extract, so town field used.</t>
        </is>
      </c>
    </row>
    <row r="7">
      <c r="A7" t="inlineStr">
        <is>
          <t>Lincolnshire (County style grouping)</t>
        </is>
      </c>
      <c r="B7" t="inlineStr">
        <is>
          <t>Grouped Local Authorities</t>
        </is>
      </c>
      <c r="C7" t="n">
        <v>795</v>
      </c>
      <c r="D7" t="n">
        <v>435</v>
      </c>
      <c r="E7" t="inlineStr"/>
    </row>
    <row r="8">
      <c r="A8" t="inlineStr">
        <is>
          <t>Northamptonshire (Unitary grouping)</t>
        </is>
      </c>
      <c r="B8" t="inlineStr">
        <is>
          <t>Grouped Local Authorities</t>
        </is>
      </c>
      <c r="C8" t="n">
        <v>719</v>
      </c>
      <c r="D8" t="n">
        <v>373</v>
      </c>
      <c r="E8" t="inlineStr"/>
    </row>
    <row r="9">
      <c r="A9" t="inlineStr">
        <is>
          <t>London (Region)</t>
        </is>
      </c>
      <c r="B9" t="inlineStr">
        <is>
          <t>Region match</t>
        </is>
      </c>
      <c r="C9" t="n">
        <v>8564</v>
      </c>
      <c r="D9" t="n">
        <v>5261</v>
      </c>
      <c r="E9" t="inlineStr"/>
    </row>
    <row r="10">
      <c r="A10" t="inlineStr">
        <is>
          <t>Birmingham</t>
        </is>
      </c>
      <c r="B10" t="inlineStr">
        <is>
          <t>Local Authority match</t>
        </is>
      </c>
      <c r="C10" t="n">
        <v>686</v>
      </c>
      <c r="D10" t="n">
        <v>514</v>
      </c>
      <c r="E10" t="inlineStr"/>
    </row>
    <row r="11">
      <c r="A11" t="inlineStr">
        <is>
          <t>Manchester</t>
        </is>
      </c>
      <c r="B11" t="inlineStr">
        <is>
          <t>Local Authority match</t>
        </is>
      </c>
      <c r="C11" t="n">
        <v>383</v>
      </c>
      <c r="D11" t="n">
        <v>188</v>
      </c>
      <c r="E11" t="inlineStr"/>
    </row>
    <row r="12">
      <c r="A12" t="inlineStr">
        <is>
          <t>Liverpool</t>
        </is>
      </c>
      <c r="B12" t="inlineStr">
        <is>
          <t>Local Authority match</t>
        </is>
      </c>
      <c r="C12" t="n">
        <v>272</v>
      </c>
      <c r="D12" t="n">
        <v>177</v>
      </c>
      <c r="E12" t="inlineStr"/>
    </row>
    <row r="13">
      <c r="A13" t="inlineStr">
        <is>
          <t>Nationwide (England)</t>
        </is>
      </c>
      <c r="B13" t="inlineStr">
        <is>
          <t>National total</t>
        </is>
      </c>
      <c r="C13" t="n">
        <v>46937</v>
      </c>
      <c r="D13" t="n">
        <v>27332</v>
      </c>
      <c r="E13" t="inlineStr">
        <is>
          <t>Validation: All England EYR providers at end in DfE HL5346 table 2a is 46937, matches Ofsted EYR count.</t>
        </is>
      </c>
    </row>
    <row r="15">
      <c r="A15" t="inlineStr">
        <is>
          <t>Adjacent settings not captured by Ofsted childcare list</t>
        </is>
      </c>
      <c r="B15" t="inlineStr">
        <is>
          <t>Examples</t>
        </is>
      </c>
      <c r="C15" t="inlineStr"/>
      <c r="D15" t="inlineStr"/>
      <c r="E15" t="inlineStr">
        <is>
          <t>Use settings_universe_sources_and_method.md and schema to expand beyond registered childcare.</t>
        </is>
      </c>
    </row>
    <row r="16">
      <c r="A16" t="inlineStr">
        <is>
          <t>Schools and academies (wraparound clubs on site)</t>
        </is>
      </c>
      <c r="B16" t="inlineStr">
        <is>
          <t>GIAS / DfE datasets</t>
        </is>
      </c>
      <c r="C16" t="inlineStr"/>
      <c r="D16" t="inlineStr"/>
      <c r="E16" t="inlineStr">
        <is>
          <t>Breakfast clubs, after school clubs, nursery classes.</t>
        </is>
      </c>
    </row>
    <row r="17">
      <c r="A17" t="inlineStr">
        <is>
          <t>Holiday clubs and out of school provision</t>
        </is>
      </c>
      <c r="B17" t="inlineStr">
        <is>
          <t>LA Family Information Service directories</t>
        </is>
      </c>
      <c r="C17" t="inlineStr"/>
      <c r="D17" t="inlineStr"/>
      <c r="E17" t="inlineStr">
        <is>
          <t>Often not in Ofsted childcare extract.</t>
        </is>
      </c>
    </row>
    <row r="18">
      <c r="A18" t="inlineStr">
        <is>
          <t>Children's homes and residential childcare</t>
        </is>
      </c>
      <c r="B18" t="inlineStr">
        <is>
          <t>Ofsted social care datasets</t>
        </is>
      </c>
      <c r="C18" t="inlineStr"/>
      <c r="D18" t="inlineStr"/>
      <c r="E18" t="inlineStr">
        <is>
          <t>Different remit, but may need DBS staff.</t>
        </is>
      </c>
    </row>
    <row r="19">
      <c r="A19" t="inlineStr">
        <is>
          <t>Private kids clubs and soft play childcare</t>
        </is>
      </c>
      <c r="B19" t="inlineStr">
        <is>
          <t>Companies House SIC, business listings, OSM</t>
        </is>
      </c>
      <c r="C19" t="inlineStr"/>
      <c r="D19" t="inlineStr"/>
      <c r="E19" t="inlineStr">
        <is>
          <t>Market expansion for staffing needs.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kk</dc:creator>
  <dcterms:created xmlns:dcterms="http://purl.org/dc/terms/" xmlns:xsi="http://www.w3.org/2001/XMLSchema-instance" xsi:type="dcterms:W3CDTF">2013-01-30T11:11:32Z</dcterms:created>
  <dcterms:modified xmlns:dcterms="http://purl.org/dc/terms/" xmlns:xsi="http://www.w3.org/2001/XMLSchema-instance" xsi:type="dcterms:W3CDTF">2026-02-18T00:35:24Z</dcterms:modified>
  <cp:lastModifiedBy>Allan Okello</cp:lastModifiedBy>
  <cp:lastPrinted>2023-04-27T13:27:28Z</cp:lastPrinted>
</cp:coreProperties>
</file>